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bastianwiegandmoller/PycharmProjects/Speciale_final/Regression/Data/"/>
    </mc:Choice>
  </mc:AlternateContent>
  <xr:revisionPtr revIDLastSave="0" documentId="13_ncr:1_{44EC142A-D53E-C246-9012-9E739EB71D31}" xr6:coauthVersionLast="47" xr6:coauthVersionMax="47" xr10:uidLastSave="{00000000-0000-0000-0000-000000000000}"/>
  <bookViews>
    <workbookView xWindow="4500" yWindow="1500" windowWidth="21640" windowHeight="15080" xr2:uid="{AD657A00-466E-754B-B891-DB6EB6F1DD8A}"/>
  </bookViews>
  <sheets>
    <sheet name="Ark3" sheetId="3" r:id="rId1"/>
    <sheet name="Look up table" sheetId="2" r:id="rId2"/>
    <sheet name="Control variable (2)" sheetId="1" r:id="rId3"/>
  </sheets>
  <definedNames>
    <definedName name="_xlnm._FilterDatabase" localSheetId="0" hidden="1">'Ark3'!$A$1:$T$1145</definedName>
    <definedName name="_xlnm._FilterDatabase" localSheetId="2" hidden="1">'Control variable (2)'!$A$1:$H$1360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54" i="3" l="1"/>
  <c r="S1149" i="3"/>
  <c r="E1143" i="3"/>
  <c r="F1143" i="3"/>
  <c r="G1143" i="3"/>
  <c r="H1143" i="3"/>
  <c r="I1143" i="3"/>
  <c r="J1143" i="3"/>
  <c r="K1143" i="3"/>
  <c r="L1143" i="3"/>
  <c r="M1143" i="3"/>
  <c r="N1143" i="3"/>
  <c r="O1143" i="3"/>
  <c r="P1143" i="3"/>
  <c r="Q1143" i="3"/>
  <c r="R1143" i="3"/>
  <c r="S1143" i="3"/>
  <c r="D114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2" i="1"/>
</calcChain>
</file>

<file path=xl/sharedStrings.xml><?xml version="1.0" encoding="utf-8"?>
<sst xmlns="http://schemas.openxmlformats.org/spreadsheetml/2006/main" count="6927" uniqueCount="151">
  <si>
    <t>Total Assets</t>
  </si>
  <si>
    <t>Net Debt - Mean</t>
  </si>
  <si>
    <t>Debt - Total</t>
  </si>
  <si>
    <t>Cash &amp; Cash Equivalents - Total</t>
  </si>
  <si>
    <t>Common Equity - Total</t>
  </si>
  <si>
    <t>Net Debt / EBITDA (SmartEstimate ®)</t>
  </si>
  <si>
    <t>Company Market Capitalization</t>
  </si>
  <si>
    <t>Net Income after Tax</t>
  </si>
  <si>
    <t>Revenue - SmartEstimate Growth (Next Yr/This Yr)</t>
  </si>
  <si>
    <t>Capital Expenditures - Total, 5 Yr CAGR</t>
  </si>
  <si>
    <t>ESG Score</t>
  </si>
  <si>
    <t>Capital Expenditures - SmartEstimate Growth (This Yr/Last Yr)</t>
  </si>
  <si>
    <t>EBITDA Margin - %</t>
  </si>
  <si>
    <t>EBIT Margin - %</t>
  </si>
  <si>
    <t>EBIT - Mean</t>
  </si>
  <si>
    <t>Company Green Revenue Percentage</t>
  </si>
  <si>
    <t>Total Capital</t>
  </si>
  <si>
    <t>ANA.MC</t>
  </si>
  <si>
    <t>NULL</t>
  </si>
  <si>
    <t>Top 8</t>
  </si>
  <si>
    <t>Ln ( assets)</t>
  </si>
  <si>
    <t xml:space="preserve">Market cap </t>
  </si>
  <si>
    <t xml:space="preserve">Net debt </t>
  </si>
  <si>
    <t xml:space="preserve">Ebit margin </t>
  </si>
  <si>
    <t xml:space="preserve">Extra to test </t>
  </si>
  <si>
    <t>Common Equity - Total/Total Assets</t>
  </si>
  <si>
    <t>CADLR.OL</t>
  </si>
  <si>
    <t>CWR.L</t>
  </si>
  <si>
    <t>DRX.L</t>
  </si>
  <si>
    <t>EDP.LS</t>
  </si>
  <si>
    <t>ELE.MC</t>
  </si>
  <si>
    <t>ENEI.MI</t>
  </si>
  <si>
    <t>ENR1n.DE</t>
  </si>
  <si>
    <t>EONGn.DE</t>
  </si>
  <si>
    <t>ERG.MI</t>
  </si>
  <si>
    <t>FORTUM.HE</t>
  </si>
  <si>
    <t>GREG.MC</t>
  </si>
  <si>
    <t>GVOLTu.ED</t>
  </si>
  <si>
    <t>IBE.MC</t>
  </si>
  <si>
    <t>ITM.L</t>
  </si>
  <si>
    <t>M6Y.SG</t>
  </si>
  <si>
    <t>N1N.SG</t>
  </si>
  <si>
    <t>NCH2.DE</t>
  </si>
  <si>
    <t>NDXG.DE</t>
  </si>
  <si>
    <t>NEL.OL</t>
  </si>
  <si>
    <t>NESTE.HE</t>
  </si>
  <si>
    <t>NG.L</t>
  </si>
  <si>
    <t>ORSTED.CO</t>
  </si>
  <si>
    <t>PRY.MI</t>
  </si>
  <si>
    <t>SSE.L</t>
  </si>
  <si>
    <t>TRN.MI</t>
  </si>
  <si>
    <t>UMI.BR</t>
  </si>
  <si>
    <t>VBKG.DE</t>
  </si>
  <si>
    <t>VERB.VI</t>
  </si>
  <si>
    <t>VWS.CO</t>
  </si>
  <si>
    <t>WCHG.DE</t>
  </si>
  <si>
    <t>MOLB.BU</t>
  </si>
  <si>
    <t>TTEF.PA</t>
  </si>
  <si>
    <t>PKN.WA</t>
  </si>
  <si>
    <t>ENI.MI</t>
  </si>
  <si>
    <t>GALP.LS</t>
  </si>
  <si>
    <t>INAI.ZA</t>
  </si>
  <si>
    <t>HEPr.AT</t>
  </si>
  <si>
    <t>FUGR.AS</t>
  </si>
  <si>
    <t>CE2G.H</t>
  </si>
  <si>
    <t>F3CG.DE</t>
  </si>
  <si>
    <t>WG.L</t>
  </si>
  <si>
    <t>4DSG.DE</t>
  </si>
  <si>
    <t>AFEN.L</t>
  </si>
  <si>
    <t>IES.L</t>
  </si>
  <si>
    <t>ELIr.AT</t>
  </si>
  <si>
    <t>CNA.L</t>
  </si>
  <si>
    <t>ENAG.MC</t>
  </si>
  <si>
    <t>NTGY.MC</t>
  </si>
  <si>
    <t>MVVGn.DE</t>
  </si>
  <si>
    <t>KEMIRA.HE</t>
  </si>
  <si>
    <t>CEZP.PR</t>
  </si>
  <si>
    <t>A2.MI</t>
  </si>
  <si>
    <t>EDNn.MI</t>
  </si>
  <si>
    <t>REP.MC</t>
  </si>
  <si>
    <t>OMVV.VI</t>
  </si>
  <si>
    <t>RWEG.DE</t>
  </si>
  <si>
    <t>RECSI.OL</t>
  </si>
  <si>
    <t>SLRS.MC</t>
  </si>
  <si>
    <t>S92G.DE</t>
  </si>
  <si>
    <t>SCATC.OL</t>
  </si>
  <si>
    <t>Ticker name</t>
  </si>
  <si>
    <t>Company name</t>
  </si>
  <si>
    <t>Company</t>
  </si>
  <si>
    <t>Ticker</t>
  </si>
  <si>
    <t>SSE</t>
  </si>
  <si>
    <t>Acciona</t>
  </si>
  <si>
    <t>cadeler</t>
  </si>
  <si>
    <t>Ceres</t>
  </si>
  <si>
    <t>drax</t>
  </si>
  <si>
    <t>EDP</t>
  </si>
  <si>
    <t>Rigtige ticker</t>
  </si>
  <si>
    <t>Encavis</t>
  </si>
  <si>
    <t>Fugasi</t>
  </si>
  <si>
    <t>endesa</t>
  </si>
  <si>
    <t>rec</t>
  </si>
  <si>
    <t>Enel</t>
  </si>
  <si>
    <t>red</t>
  </si>
  <si>
    <t>EON</t>
  </si>
  <si>
    <t>RWE</t>
  </si>
  <si>
    <t>ERG</t>
  </si>
  <si>
    <t>scatec</t>
  </si>
  <si>
    <t>fortum</t>
  </si>
  <si>
    <t>smasolar</t>
  </si>
  <si>
    <t>greenvolt</t>
  </si>
  <si>
    <t>solaria</t>
  </si>
  <si>
    <t>grenergy</t>
  </si>
  <si>
    <t>iberdrola</t>
  </si>
  <si>
    <t>ITM</t>
  </si>
  <si>
    <t>meyer</t>
  </si>
  <si>
    <t>nel</t>
  </si>
  <si>
    <t>neoen</t>
  </si>
  <si>
    <t>neste</t>
  </si>
  <si>
    <t>ngg</t>
  </si>
  <si>
    <t>Nordex</t>
  </si>
  <si>
    <t>orsted</t>
  </si>
  <si>
    <t>prysmian</t>
  </si>
  <si>
    <t>RWEG:DE</t>
  </si>
  <si>
    <t>siemens</t>
  </si>
  <si>
    <t>terna</t>
  </si>
  <si>
    <t>Thyssenkrupp</t>
  </si>
  <si>
    <t>umicore</t>
  </si>
  <si>
    <t>verbio</t>
  </si>
  <si>
    <t>verbund</t>
  </si>
  <si>
    <t>vestas</t>
  </si>
  <si>
    <t>wacker</t>
  </si>
  <si>
    <t>mol</t>
  </si>
  <si>
    <t>Total_energies</t>
  </si>
  <si>
    <t>fugro</t>
  </si>
  <si>
    <t>cropenergies</t>
  </si>
  <si>
    <t>sfc</t>
  </si>
  <si>
    <t>naturgy</t>
  </si>
  <si>
    <t>mvv</t>
  </si>
  <si>
    <t>kemira</t>
  </si>
  <si>
    <t>cez-group</t>
  </si>
  <si>
    <t>A2A</t>
  </si>
  <si>
    <t>NYSE_EIX</t>
  </si>
  <si>
    <t>OTC_OMVKY</t>
  </si>
  <si>
    <t>LSE_IES</t>
  </si>
  <si>
    <t>LSE_AFC</t>
  </si>
  <si>
    <t>Year</t>
  </si>
  <si>
    <t>Assets</t>
  </si>
  <si>
    <t>Cash</t>
  </si>
  <si>
    <t>Debt</t>
  </si>
  <si>
    <t>Commen Eq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</si>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</sst>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F205-64D7-E64E-AAEE-FBD9400596A2}">
  <dimension ref="A1:T1208"/>
  <sheetViews>
    <sheetView tabSelected="1" workbookViewId="0">
      <selection activeCell="C10" sqref="C10"/>
    </sheetView>
  </sheetViews>
  <sheetFormatPr baseColWidth="10" defaultRowHeight="15" x14ac:dyDescent="0.2"/>
  <cols>
    <col min="1" max="1" width="18.33203125" customWidth="1"/>
  </cols>
  <sheetData>
    <row r="1" spans="1:20" x14ac:dyDescent="0.2">
      <c r="A1" s="3" t="s">
        <v>87</v>
      </c>
      <c r="B1" t="s">
        <v>86</v>
      </c>
      <c r="C1" s="7" t="s">
        <v>145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s="1" t="s">
        <v>5</v>
      </c>
      <c r="J1" t="s">
        <v>6</v>
      </c>
      <c r="K1" t="s">
        <v>7</v>
      </c>
      <c r="L1" s="1" t="s">
        <v>8</v>
      </c>
      <c r="M1" t="s">
        <v>9</v>
      </c>
      <c r="N1" s="1" t="s">
        <v>10</v>
      </c>
      <c r="O1" s="1" t="s">
        <v>11</v>
      </c>
      <c r="P1" t="s">
        <v>12</v>
      </c>
      <c r="Q1" t="s">
        <v>13</v>
      </c>
      <c r="R1" t="s">
        <v>14</v>
      </c>
      <c r="S1" s="1" t="s">
        <v>15</v>
      </c>
      <c r="T1" t="s">
        <v>16</v>
      </c>
    </row>
    <row r="2" spans="1:20" x14ac:dyDescent="0.2">
      <c r="A2" t="s">
        <v>91</v>
      </c>
      <c r="B2" t="s">
        <v>17</v>
      </c>
      <c r="C2">
        <v>2004</v>
      </c>
      <c r="D2">
        <v>8200945000</v>
      </c>
      <c r="E2">
        <v>-33027000</v>
      </c>
      <c r="F2">
        <v>2401582000</v>
      </c>
      <c r="G2">
        <v>182353000</v>
      </c>
      <c r="H2">
        <v>2656271000</v>
      </c>
      <c r="I2" t="s">
        <v>18</v>
      </c>
      <c r="J2">
        <v>3825710000</v>
      </c>
      <c r="K2">
        <v>1964221000</v>
      </c>
      <c r="L2" t="s">
        <v>18</v>
      </c>
      <c r="M2" t="s">
        <v>18</v>
      </c>
      <c r="N2">
        <v>40.238095238095198</v>
      </c>
      <c r="O2" t="s">
        <v>18</v>
      </c>
      <c r="P2">
        <v>9.9171700000000005</v>
      </c>
      <c r="Q2">
        <v>6.6474099999999998</v>
      </c>
      <c r="R2">
        <v>316377000</v>
      </c>
      <c r="S2" t="s">
        <v>18</v>
      </c>
      <c r="T2">
        <v>5262876000</v>
      </c>
    </row>
    <row r="3" spans="1:20" x14ac:dyDescent="0.2">
      <c r="A3" t="s">
        <v>91</v>
      </c>
      <c r="B3" t="s">
        <v>17</v>
      </c>
      <c r="C3">
        <v>2005</v>
      </c>
      <c r="D3">
        <v>9488185000</v>
      </c>
      <c r="E3">
        <v>1003013730</v>
      </c>
      <c r="F3">
        <v>1162165000</v>
      </c>
      <c r="G3">
        <v>558651000</v>
      </c>
      <c r="H3">
        <v>2735946000</v>
      </c>
      <c r="I3" t="s">
        <v>18</v>
      </c>
      <c r="J3">
        <v>6132575000</v>
      </c>
      <c r="K3">
        <v>239226000</v>
      </c>
      <c r="L3" t="s">
        <v>18</v>
      </c>
      <c r="M3" t="s">
        <v>18</v>
      </c>
      <c r="N3">
        <v>63.9556668821374</v>
      </c>
      <c r="O3" t="s">
        <v>18</v>
      </c>
      <c r="P3">
        <v>64.209320000000005</v>
      </c>
      <c r="Q3">
        <v>58.628799999999998</v>
      </c>
      <c r="R3">
        <v>445678500</v>
      </c>
      <c r="S3" t="s">
        <v>18</v>
      </c>
      <c r="T3">
        <v>4175705000</v>
      </c>
    </row>
    <row r="4" spans="1:20" x14ac:dyDescent="0.2">
      <c r="A4" t="s">
        <v>91</v>
      </c>
      <c r="B4" t="s">
        <v>17</v>
      </c>
      <c r="C4">
        <v>2006</v>
      </c>
      <c r="D4">
        <v>10911109000</v>
      </c>
      <c r="E4">
        <v>2766044000</v>
      </c>
      <c r="F4">
        <v>1640244000</v>
      </c>
      <c r="G4">
        <v>866344000</v>
      </c>
      <c r="H4">
        <v>3236982000</v>
      </c>
      <c r="I4" t="s">
        <v>18</v>
      </c>
      <c r="J4">
        <v>8325050000</v>
      </c>
      <c r="K4">
        <v>328752000</v>
      </c>
      <c r="L4" t="s">
        <v>18</v>
      </c>
      <c r="M4" t="s">
        <v>18</v>
      </c>
      <c r="N4">
        <v>73.512949164935904</v>
      </c>
      <c r="O4" t="s">
        <v>18</v>
      </c>
      <c r="P4">
        <v>65.766990000000007</v>
      </c>
      <c r="Q4">
        <v>61.108690000000003</v>
      </c>
      <c r="R4">
        <v>666004540</v>
      </c>
      <c r="S4" t="s">
        <v>18</v>
      </c>
      <c r="T4">
        <v>5110320000</v>
      </c>
    </row>
    <row r="5" spans="1:20" x14ac:dyDescent="0.2">
      <c r="A5" t="s">
        <v>91</v>
      </c>
      <c r="B5" t="s">
        <v>17</v>
      </c>
      <c r="C5">
        <v>2007</v>
      </c>
      <c r="D5">
        <v>21287366000</v>
      </c>
      <c r="E5">
        <v>12277887000</v>
      </c>
      <c r="F5">
        <v>10261948000</v>
      </c>
      <c r="G5">
        <v>1612344000</v>
      </c>
      <c r="H5">
        <v>4425268000</v>
      </c>
      <c r="I5" t="s">
        <v>18</v>
      </c>
      <c r="J5">
        <v>14743600000</v>
      </c>
      <c r="K5">
        <v>1373077000</v>
      </c>
      <c r="L5" t="s">
        <v>18</v>
      </c>
      <c r="M5" t="s">
        <v>18</v>
      </c>
      <c r="N5">
        <v>80.787582994961696</v>
      </c>
      <c r="O5" t="s">
        <v>18</v>
      </c>
      <c r="P5">
        <v>15.32673</v>
      </c>
      <c r="Q5">
        <v>10.097239999999999</v>
      </c>
      <c r="R5">
        <v>782693550</v>
      </c>
      <c r="S5" t="s">
        <v>18</v>
      </c>
      <c r="T5">
        <v>14996328000</v>
      </c>
    </row>
    <row r="6" spans="1:20" x14ac:dyDescent="0.2">
      <c r="A6" t="s">
        <v>91</v>
      </c>
      <c r="B6" t="s">
        <v>17</v>
      </c>
      <c r="C6">
        <v>2008</v>
      </c>
      <c r="D6">
        <v>38635424000</v>
      </c>
      <c r="E6">
        <v>16798126440</v>
      </c>
      <c r="F6">
        <v>16265919000</v>
      </c>
      <c r="G6">
        <v>1565933000</v>
      </c>
      <c r="H6">
        <v>4829902000</v>
      </c>
      <c r="I6" t="s">
        <v>18</v>
      </c>
      <c r="J6">
        <v>4197477500</v>
      </c>
      <c r="K6">
        <v>954672000</v>
      </c>
      <c r="L6" t="s">
        <v>18</v>
      </c>
      <c r="M6" t="s">
        <v>18</v>
      </c>
      <c r="N6">
        <v>88.659580996117</v>
      </c>
      <c r="O6" t="s">
        <v>18</v>
      </c>
      <c r="P6">
        <v>61.340820000000001</v>
      </c>
      <c r="Q6">
        <v>54.783580000000001</v>
      </c>
      <c r="R6">
        <v>1880869860</v>
      </c>
      <c r="S6" t="s">
        <v>18</v>
      </c>
      <c r="T6">
        <v>23545519000</v>
      </c>
    </row>
    <row r="7" spans="1:20" x14ac:dyDescent="0.2">
      <c r="A7" t="s">
        <v>91</v>
      </c>
      <c r="B7" t="s">
        <v>17</v>
      </c>
      <c r="C7">
        <v>2009</v>
      </c>
      <c r="D7">
        <v>38458369000</v>
      </c>
      <c r="E7">
        <v>7813912780</v>
      </c>
      <c r="F7">
        <v>18857865000</v>
      </c>
      <c r="G7">
        <v>2862017000</v>
      </c>
      <c r="H7">
        <v>4608124000</v>
      </c>
      <c r="I7" t="s">
        <v>18</v>
      </c>
      <c r="J7">
        <v>5586045000</v>
      </c>
      <c r="K7">
        <v>221201000</v>
      </c>
      <c r="L7" t="s">
        <v>18</v>
      </c>
      <c r="M7" t="s">
        <v>18</v>
      </c>
      <c r="N7">
        <v>78.317816258553194</v>
      </c>
      <c r="O7" t="s">
        <v>18</v>
      </c>
      <c r="P7">
        <v>66.178740000000005</v>
      </c>
      <c r="Q7">
        <v>52.582850000000001</v>
      </c>
      <c r="R7">
        <v>518987530</v>
      </c>
      <c r="S7">
        <v>23.717099999999999</v>
      </c>
      <c r="T7">
        <v>25394987000</v>
      </c>
    </row>
    <row r="8" spans="1:20" x14ac:dyDescent="0.2">
      <c r="A8" t="s">
        <v>91</v>
      </c>
      <c r="B8" t="s">
        <v>17</v>
      </c>
      <c r="C8">
        <v>2010</v>
      </c>
      <c r="D8">
        <v>20482300000</v>
      </c>
      <c r="E8">
        <v>8047649860</v>
      </c>
      <c r="F8">
        <v>7162834000</v>
      </c>
      <c r="G8">
        <v>1335648000</v>
      </c>
      <c r="H8">
        <v>5781364000</v>
      </c>
      <c r="I8" t="s">
        <v>18</v>
      </c>
      <c r="J8">
        <v>3218807500</v>
      </c>
      <c r="K8">
        <v>158965000</v>
      </c>
      <c r="L8" t="s">
        <v>18</v>
      </c>
      <c r="M8">
        <v>42.607457573058497</v>
      </c>
      <c r="N8">
        <v>80.738819207753806</v>
      </c>
      <c r="O8" t="s">
        <v>18</v>
      </c>
      <c r="P8">
        <v>67.414779999999993</v>
      </c>
      <c r="Q8">
        <v>56.915880000000001</v>
      </c>
      <c r="R8">
        <v>576251760</v>
      </c>
      <c r="S8">
        <v>18.3962</v>
      </c>
      <c r="T8">
        <v>13250344000</v>
      </c>
    </row>
    <row r="9" spans="1:20" x14ac:dyDescent="0.2">
      <c r="A9" t="s">
        <v>91</v>
      </c>
      <c r="B9" t="s">
        <v>17</v>
      </c>
      <c r="C9">
        <v>2011</v>
      </c>
      <c r="D9">
        <v>20502191000</v>
      </c>
      <c r="E9">
        <v>7331158950</v>
      </c>
      <c r="F9">
        <v>8211514000</v>
      </c>
      <c r="G9">
        <v>1368618000</v>
      </c>
      <c r="H9">
        <v>5731480000</v>
      </c>
      <c r="I9" t="s">
        <v>18</v>
      </c>
      <c r="J9">
        <v>4365885000</v>
      </c>
      <c r="K9">
        <v>182365000</v>
      </c>
      <c r="L9" t="s">
        <v>18</v>
      </c>
      <c r="M9">
        <v>3.9836519553871499</v>
      </c>
      <c r="N9">
        <v>82.522563045176398</v>
      </c>
      <c r="O9" t="s">
        <v>18</v>
      </c>
      <c r="P9">
        <v>19.856719999999999</v>
      </c>
      <c r="Q9">
        <v>8.4296799999999994</v>
      </c>
      <c r="R9">
        <v>637086800</v>
      </c>
      <c r="S9">
        <v>23.209299999999999</v>
      </c>
      <c r="T9">
        <v>14274911000</v>
      </c>
    </row>
    <row r="10" spans="1:20" x14ac:dyDescent="0.2">
      <c r="A10" t="s">
        <v>91</v>
      </c>
      <c r="B10" t="s">
        <v>17</v>
      </c>
      <c r="C10">
        <v>2012</v>
      </c>
      <c r="D10">
        <v>20326840000</v>
      </c>
      <c r="E10">
        <v>7413776830</v>
      </c>
      <c r="F10">
        <v>7063919000</v>
      </c>
      <c r="G10">
        <v>1541778000</v>
      </c>
      <c r="H10">
        <v>5462510000</v>
      </c>
      <c r="I10" t="s">
        <v>18</v>
      </c>
      <c r="J10">
        <v>2854388567.5</v>
      </c>
      <c r="K10">
        <v>165600000</v>
      </c>
      <c r="L10" t="s">
        <v>18</v>
      </c>
      <c r="M10">
        <v>-35.223549832179998</v>
      </c>
      <c r="N10">
        <v>85.026862185077505</v>
      </c>
      <c r="O10" t="s">
        <v>18</v>
      </c>
      <c r="P10">
        <v>23.662849999999999</v>
      </c>
      <c r="Q10">
        <v>8.9975699999999996</v>
      </c>
      <c r="R10">
        <v>669757840</v>
      </c>
      <c r="S10">
        <v>28.9803</v>
      </c>
      <c r="T10">
        <v>12827091000</v>
      </c>
    </row>
    <row r="11" spans="1:20" x14ac:dyDescent="0.2">
      <c r="A11" t="s">
        <v>91</v>
      </c>
      <c r="B11" t="s">
        <v>17</v>
      </c>
      <c r="C11">
        <v>2013</v>
      </c>
      <c r="D11">
        <v>18539059000</v>
      </c>
      <c r="E11">
        <v>7448680870</v>
      </c>
      <c r="F11">
        <v>8144326000</v>
      </c>
      <c r="G11">
        <v>1104878000</v>
      </c>
      <c r="H11">
        <v>5229722000</v>
      </c>
      <c r="I11" t="s">
        <v>18</v>
      </c>
      <c r="J11">
        <v>2576393452.25</v>
      </c>
      <c r="K11">
        <v>183402000</v>
      </c>
      <c r="L11" t="s">
        <v>18</v>
      </c>
      <c r="M11">
        <v>-19.017775834293399</v>
      </c>
      <c r="N11">
        <v>78.942688814193502</v>
      </c>
      <c r="O11" t="s">
        <v>18</v>
      </c>
      <c r="P11">
        <v>21.061889999999998</v>
      </c>
      <c r="Q11">
        <v>9.8617899999999992</v>
      </c>
      <c r="R11">
        <v>534194880</v>
      </c>
      <c r="S11">
        <v>35.116</v>
      </c>
      <c r="T11">
        <v>13649626000</v>
      </c>
    </row>
    <row r="12" spans="1:20" x14ac:dyDescent="0.2">
      <c r="A12" t="s">
        <v>91</v>
      </c>
      <c r="B12" t="s">
        <v>17</v>
      </c>
      <c r="C12">
        <v>2014</v>
      </c>
      <c r="D12">
        <v>15690207000</v>
      </c>
      <c r="E12">
        <v>5674869000</v>
      </c>
      <c r="F12">
        <v>7554695000</v>
      </c>
      <c r="G12">
        <v>1163568000</v>
      </c>
      <c r="H12">
        <v>3315499000</v>
      </c>
      <c r="I12">
        <v>5.3506258030962996</v>
      </c>
      <c r="J12">
        <v>3439008573</v>
      </c>
      <c r="K12">
        <v>-2046765000</v>
      </c>
      <c r="L12">
        <v>1.0241633830616601</v>
      </c>
      <c r="M12">
        <v>-34.231465983013102</v>
      </c>
      <c r="N12">
        <v>77.423692686307504</v>
      </c>
      <c r="O12">
        <v>-10.4395459317585</v>
      </c>
      <c r="P12">
        <v>46.192570000000003</v>
      </c>
      <c r="Q12">
        <v>-0.45006000000000002</v>
      </c>
      <c r="R12">
        <v>491097000</v>
      </c>
      <c r="S12">
        <v>40.755800000000001</v>
      </c>
      <c r="T12">
        <v>11036542000</v>
      </c>
    </row>
    <row r="13" spans="1:20" x14ac:dyDescent="0.2">
      <c r="A13" t="s">
        <v>91</v>
      </c>
      <c r="B13" t="s">
        <v>17</v>
      </c>
      <c r="C13">
        <v>2015</v>
      </c>
      <c r="D13">
        <v>16143180000</v>
      </c>
      <c r="E13">
        <v>5315547130</v>
      </c>
      <c r="F13">
        <v>7007927000</v>
      </c>
      <c r="G13">
        <v>1326812000</v>
      </c>
      <c r="H13">
        <v>3457360000</v>
      </c>
      <c r="I13">
        <v>4.5723293490523798</v>
      </c>
      <c r="J13">
        <v>4534956360</v>
      </c>
      <c r="K13">
        <v>163000000</v>
      </c>
      <c r="L13">
        <v>-6.5102432309377898</v>
      </c>
      <c r="M13">
        <v>-37.314007388588102</v>
      </c>
      <c r="N13">
        <v>78.681491424638295</v>
      </c>
      <c r="O13">
        <v>-39.878731476500803</v>
      </c>
      <c r="P13">
        <v>15.823219999999999</v>
      </c>
      <c r="Q13">
        <v>8.3033800000000006</v>
      </c>
      <c r="R13">
        <v>632585000</v>
      </c>
      <c r="S13">
        <v>45.464700000000001</v>
      </c>
      <c r="T13">
        <v>10698725000</v>
      </c>
    </row>
    <row r="14" spans="1:20" x14ac:dyDescent="0.2">
      <c r="A14" t="s">
        <v>91</v>
      </c>
      <c r="B14" t="s">
        <v>17</v>
      </c>
      <c r="C14">
        <v>2016</v>
      </c>
      <c r="D14">
        <v>15777617000</v>
      </c>
      <c r="E14">
        <v>5447457850</v>
      </c>
      <c r="F14">
        <v>7465080000</v>
      </c>
      <c r="G14">
        <v>1460173000</v>
      </c>
      <c r="H14">
        <v>3641459000</v>
      </c>
      <c r="I14">
        <v>4.8883105092643104</v>
      </c>
      <c r="J14">
        <v>3631973256.5</v>
      </c>
      <c r="K14">
        <v>175705000</v>
      </c>
      <c r="L14">
        <v>3.5418303336736501</v>
      </c>
      <c r="M14">
        <v>-29.109971657662101</v>
      </c>
      <c r="N14">
        <v>77.937591865986803</v>
      </c>
      <c r="O14">
        <v>239.676838565022</v>
      </c>
      <c r="P14">
        <v>18.725000000000001</v>
      </c>
      <c r="Q14">
        <v>9.7555200000000006</v>
      </c>
      <c r="R14">
        <v>535141600</v>
      </c>
      <c r="S14">
        <v>6.8590999999999998</v>
      </c>
      <c r="T14">
        <v>11367399000</v>
      </c>
    </row>
    <row r="15" spans="1:20" x14ac:dyDescent="0.2">
      <c r="A15" t="s">
        <v>91</v>
      </c>
      <c r="B15" t="s">
        <v>17</v>
      </c>
      <c r="C15">
        <v>2017</v>
      </c>
      <c r="D15">
        <v>17407764000</v>
      </c>
      <c r="E15">
        <v>5438162920</v>
      </c>
      <c r="F15">
        <v>7159120000</v>
      </c>
      <c r="G15">
        <v>1428319000</v>
      </c>
      <c r="H15">
        <v>3963902000</v>
      </c>
      <c r="I15">
        <v>4.4671887894221003</v>
      </c>
      <c r="J15">
        <v>3879907108</v>
      </c>
      <c r="K15">
        <v>304285000</v>
      </c>
      <c r="L15">
        <v>-6.2607557690243496</v>
      </c>
      <c r="M15">
        <v>-4.2544434515084903</v>
      </c>
      <c r="N15">
        <v>82.999034354469103</v>
      </c>
      <c r="O15">
        <v>5.7772083276388297</v>
      </c>
      <c r="P15">
        <v>16.655480000000001</v>
      </c>
      <c r="Q15">
        <v>7.6284299999999998</v>
      </c>
      <c r="R15">
        <v>651077930</v>
      </c>
      <c r="S15">
        <v>49.867100000000001</v>
      </c>
      <c r="T15">
        <v>11388892000</v>
      </c>
    </row>
    <row r="16" spans="1:20" x14ac:dyDescent="0.2">
      <c r="A16" t="s">
        <v>91</v>
      </c>
      <c r="B16" t="s">
        <v>17</v>
      </c>
      <c r="C16">
        <v>2018</v>
      </c>
      <c r="D16">
        <v>17147358000</v>
      </c>
      <c r="E16">
        <v>4825166000</v>
      </c>
      <c r="F16">
        <v>7116574000</v>
      </c>
      <c r="G16">
        <v>1272781000</v>
      </c>
      <c r="H16">
        <v>3870912000</v>
      </c>
      <c r="I16">
        <v>3.5900785561614201</v>
      </c>
      <c r="J16">
        <v>4643749505</v>
      </c>
      <c r="K16">
        <v>320451000</v>
      </c>
      <c r="L16">
        <v>-1.3151529757223099</v>
      </c>
      <c r="M16">
        <v>0.43685070439714002</v>
      </c>
      <c r="N16">
        <v>84.748968629692797</v>
      </c>
      <c r="O16">
        <v>1.4278651036463501</v>
      </c>
      <c r="P16">
        <v>16.703019999999999</v>
      </c>
      <c r="Q16">
        <v>8.4919499999999992</v>
      </c>
      <c r="R16">
        <v>647437200</v>
      </c>
      <c r="S16">
        <v>43.086799999999997</v>
      </c>
      <c r="T16">
        <v>11190527000</v>
      </c>
    </row>
    <row r="17" spans="1:20" x14ac:dyDescent="0.2">
      <c r="A17" t="s">
        <v>91</v>
      </c>
      <c r="B17" t="s">
        <v>17</v>
      </c>
      <c r="C17">
        <v>2019</v>
      </c>
      <c r="D17">
        <v>14937593000</v>
      </c>
      <c r="E17">
        <v>5091483200</v>
      </c>
      <c r="F17">
        <v>6576358000</v>
      </c>
      <c r="G17">
        <v>1717405000</v>
      </c>
      <c r="H17">
        <v>3398074000</v>
      </c>
      <c r="I17">
        <v>4.1821675823686899</v>
      </c>
      <c r="J17">
        <v>5156525382</v>
      </c>
      <c r="K17">
        <v>330191000</v>
      </c>
      <c r="L17">
        <v>3.18979326294704</v>
      </c>
      <c r="M17">
        <v>11.0042856639491</v>
      </c>
      <c r="N17">
        <v>90.716537918088406</v>
      </c>
      <c r="O17">
        <v>51.995306365876999</v>
      </c>
      <c r="P17">
        <v>15.818899999999999</v>
      </c>
      <c r="Q17">
        <v>8.0661299999999994</v>
      </c>
      <c r="R17">
        <v>659087820</v>
      </c>
      <c r="S17">
        <v>51.511200000000002</v>
      </c>
      <c r="T17">
        <v>10180145000</v>
      </c>
    </row>
    <row r="18" spans="1:20" x14ac:dyDescent="0.2">
      <c r="A18" t="s">
        <v>91</v>
      </c>
      <c r="B18" t="s">
        <v>17</v>
      </c>
      <c r="C18">
        <v>2020</v>
      </c>
      <c r="D18">
        <v>17349187000</v>
      </c>
      <c r="E18">
        <v>5581660300</v>
      </c>
      <c r="F18">
        <v>7960844000</v>
      </c>
      <c r="G18">
        <v>2148615000</v>
      </c>
      <c r="H18">
        <v>3525798000</v>
      </c>
      <c r="I18">
        <v>4.8827310771324797</v>
      </c>
      <c r="J18">
        <v>5732520238.5</v>
      </c>
      <c r="K18">
        <v>336534000</v>
      </c>
      <c r="L18">
        <v>11.8079411526742</v>
      </c>
      <c r="M18">
        <v>25.659497822547898</v>
      </c>
      <c r="N18">
        <v>86.826034642779206</v>
      </c>
      <c r="O18">
        <v>-44.193438087323003</v>
      </c>
      <c r="P18">
        <v>17.73685</v>
      </c>
      <c r="Q18">
        <v>9.6306899999999995</v>
      </c>
      <c r="R18">
        <v>590654170</v>
      </c>
      <c r="S18">
        <v>50.358800000000002</v>
      </c>
      <c r="T18">
        <v>11706132000</v>
      </c>
    </row>
    <row r="19" spans="1:20" x14ac:dyDescent="0.2">
      <c r="A19" t="s">
        <v>91</v>
      </c>
      <c r="B19" t="s">
        <v>17</v>
      </c>
      <c r="C19">
        <v>2021</v>
      </c>
      <c r="D19">
        <v>18267963000</v>
      </c>
      <c r="E19">
        <v>4608272730</v>
      </c>
      <c r="F19">
        <v>7361990000</v>
      </c>
      <c r="G19">
        <v>2407158000</v>
      </c>
      <c r="H19">
        <v>3495962000</v>
      </c>
      <c r="I19">
        <v>3.6301295532245499</v>
      </c>
      <c r="J19">
        <v>8749636153.5</v>
      </c>
      <c r="K19">
        <v>249228000</v>
      </c>
      <c r="L19">
        <v>6.95886933401421</v>
      </c>
      <c r="M19">
        <v>34.454986183051503</v>
      </c>
      <c r="N19">
        <v>87.693002582678901</v>
      </c>
      <c r="O19">
        <v>101.47119034422801</v>
      </c>
      <c r="P19">
        <v>14.07278</v>
      </c>
      <c r="Q19">
        <v>5.4742800000000003</v>
      </c>
      <c r="R19">
        <v>719752360</v>
      </c>
      <c r="S19">
        <v>46.698399999999999</v>
      </c>
      <c r="T19">
        <v>11223126000</v>
      </c>
    </row>
    <row r="20" spans="1:20" x14ac:dyDescent="0.2">
      <c r="A20" t="s">
        <v>91</v>
      </c>
      <c r="B20" t="s">
        <v>17</v>
      </c>
      <c r="C20">
        <v>2022</v>
      </c>
      <c r="D20">
        <v>19602762000</v>
      </c>
      <c r="E20">
        <v>5078015000</v>
      </c>
      <c r="F20">
        <v>6889457000</v>
      </c>
      <c r="G20">
        <v>2317978000</v>
      </c>
      <c r="H20">
        <v>4404976000</v>
      </c>
      <c r="I20">
        <v>2.5413401469853101</v>
      </c>
      <c r="J20">
        <v>10400821408.799999</v>
      </c>
      <c r="K20">
        <v>391318000</v>
      </c>
      <c r="L20">
        <v>1.7070882876873399</v>
      </c>
      <c r="M20">
        <v>3.7158462503180201</v>
      </c>
      <c r="N20">
        <v>88.096272014056595</v>
      </c>
      <c r="O20">
        <v>72.052638183006806</v>
      </c>
      <c r="P20">
        <v>15.467560000000001</v>
      </c>
      <c r="Q20">
        <v>8.2444000000000006</v>
      </c>
      <c r="R20">
        <v>1167774420</v>
      </c>
      <c r="S20">
        <v>51.278100000000002</v>
      </c>
      <c r="T20">
        <v>12540040000</v>
      </c>
    </row>
    <row r="21" spans="1:20" x14ac:dyDescent="0.2">
      <c r="A21" t="s">
        <v>91</v>
      </c>
      <c r="B21" t="s">
        <v>17</v>
      </c>
      <c r="C21">
        <v>2023</v>
      </c>
      <c r="D21">
        <v>22595000000</v>
      </c>
      <c r="E21">
        <v>7129825000</v>
      </c>
      <c r="F21">
        <v>7937000000</v>
      </c>
      <c r="G21">
        <v>2360000000</v>
      </c>
      <c r="H21">
        <v>4979000000</v>
      </c>
      <c r="I21">
        <v>3.8223616884373501</v>
      </c>
      <c r="J21">
        <v>7123136392.0500002</v>
      </c>
      <c r="K21">
        <v>650000000</v>
      </c>
      <c r="L21">
        <v>14.3534513471089</v>
      </c>
      <c r="M21">
        <v>23.346788182779001</v>
      </c>
      <c r="N21">
        <v>86.8207780205516</v>
      </c>
      <c r="O21">
        <v>35.301478126608302</v>
      </c>
      <c r="P21">
        <v>16.167929999999998</v>
      </c>
      <c r="Q21">
        <v>10.36177</v>
      </c>
      <c r="R21">
        <v>1309275310</v>
      </c>
      <c r="S21">
        <v>50.872</v>
      </c>
      <c r="T21">
        <v>14335000000</v>
      </c>
    </row>
    <row r="22" spans="1:20" x14ac:dyDescent="0.2">
      <c r="A22" t="s">
        <v>91</v>
      </c>
      <c r="B22" t="s">
        <v>17</v>
      </c>
      <c r="C22">
        <v>2024</v>
      </c>
      <c r="D22">
        <v>31650000000</v>
      </c>
      <c r="E22">
        <v>7894956000</v>
      </c>
      <c r="F22">
        <v>10880000000</v>
      </c>
      <c r="G22">
        <v>3714000000</v>
      </c>
      <c r="H22">
        <v>5107000000</v>
      </c>
      <c r="I22">
        <v>3.7760648185366601</v>
      </c>
      <c r="J22">
        <v>6599255355.8999996</v>
      </c>
      <c r="K22">
        <v>573000000</v>
      </c>
      <c r="L22">
        <v>2.8621510026935</v>
      </c>
      <c r="M22">
        <v>35.029222543632898</v>
      </c>
      <c r="N22">
        <v>86.309952484514099</v>
      </c>
      <c r="O22">
        <v>-27.521190739461002</v>
      </c>
      <c r="P22">
        <v>12.0557</v>
      </c>
      <c r="Q22">
        <v>6.5331099999999998</v>
      </c>
      <c r="R22">
        <v>1077585690</v>
      </c>
      <c r="S22">
        <v>33.755000000000003</v>
      </c>
      <c r="T22">
        <v>17829000000</v>
      </c>
    </row>
    <row r="23" spans="1:20" x14ac:dyDescent="0.2">
      <c r="A23" t="s">
        <v>91</v>
      </c>
      <c r="B23" t="s">
        <v>17</v>
      </c>
      <c r="C23">
        <v>2025</v>
      </c>
      <c r="D23">
        <v>34620000000</v>
      </c>
      <c r="E23">
        <v>7473865560</v>
      </c>
      <c r="F23">
        <v>12010000000</v>
      </c>
      <c r="G23">
        <v>4240000000</v>
      </c>
      <c r="H23">
        <v>4942000000</v>
      </c>
      <c r="I23">
        <v>2.7840524976323802</v>
      </c>
      <c r="J23">
        <v>9325631010</v>
      </c>
      <c r="K23">
        <v>451000000</v>
      </c>
      <c r="L23">
        <v>3.50252217759527</v>
      </c>
      <c r="M23">
        <v>15.7150375283126</v>
      </c>
      <c r="N23">
        <v>85.071840939875599</v>
      </c>
      <c r="O23">
        <v>-20.717013314141798</v>
      </c>
      <c r="P23">
        <v>11.18812</v>
      </c>
      <c r="Q23">
        <v>5.31006</v>
      </c>
      <c r="R23">
        <v>1618215820</v>
      </c>
      <c r="S23">
        <v>25.5581</v>
      </c>
      <c r="T23">
        <v>18516000000</v>
      </c>
    </row>
    <row r="24" spans="1:20" x14ac:dyDescent="0.2">
      <c r="A24" t="s">
        <v>92</v>
      </c>
      <c r="B24" t="s">
        <v>26</v>
      </c>
      <c r="C24">
        <v>2004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</row>
    <row r="25" spans="1:20" x14ac:dyDescent="0.2">
      <c r="A25" t="s">
        <v>92</v>
      </c>
      <c r="B25" t="s">
        <v>26</v>
      </c>
      <c r="C25">
        <v>2005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</row>
    <row r="26" spans="1:20" x14ac:dyDescent="0.2">
      <c r="A26" t="s">
        <v>92</v>
      </c>
      <c r="B26" t="s">
        <v>26</v>
      </c>
      <c r="C26">
        <v>2006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</row>
    <row r="27" spans="1:20" x14ac:dyDescent="0.2">
      <c r="A27" t="s">
        <v>92</v>
      </c>
      <c r="B27" t="s">
        <v>26</v>
      </c>
      <c r="C27">
        <v>2007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</row>
    <row r="28" spans="1:20" x14ac:dyDescent="0.2">
      <c r="A28" t="s">
        <v>92</v>
      </c>
      <c r="B28" t="s">
        <v>26</v>
      </c>
      <c r="C28">
        <v>2008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</row>
    <row r="29" spans="1:20" x14ac:dyDescent="0.2">
      <c r="A29" t="s">
        <v>92</v>
      </c>
      <c r="B29" t="s">
        <v>26</v>
      </c>
      <c r="C29">
        <v>2009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</row>
    <row r="30" spans="1:20" x14ac:dyDescent="0.2">
      <c r="A30" t="s">
        <v>92</v>
      </c>
      <c r="B30" t="s">
        <v>26</v>
      </c>
      <c r="C30">
        <v>2010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 t="s">
        <v>18</v>
      </c>
    </row>
    <row r="31" spans="1:20" x14ac:dyDescent="0.2">
      <c r="A31" t="s">
        <v>92</v>
      </c>
      <c r="B31" t="s">
        <v>26</v>
      </c>
      <c r="C31">
        <v>2011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</row>
    <row r="32" spans="1:20" x14ac:dyDescent="0.2">
      <c r="A32" t="s">
        <v>92</v>
      </c>
      <c r="B32" t="s">
        <v>26</v>
      </c>
      <c r="C32">
        <v>2012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 t="s">
        <v>18</v>
      </c>
    </row>
    <row r="33" spans="1:20" x14ac:dyDescent="0.2">
      <c r="A33" t="s">
        <v>92</v>
      </c>
      <c r="B33" t="s">
        <v>26</v>
      </c>
      <c r="C33">
        <v>2013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</row>
    <row r="34" spans="1:20" x14ac:dyDescent="0.2">
      <c r="A34" t="s">
        <v>92</v>
      </c>
      <c r="B34" t="s">
        <v>26</v>
      </c>
      <c r="C34">
        <v>2014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</row>
    <row r="35" spans="1:20" x14ac:dyDescent="0.2">
      <c r="A35" t="s">
        <v>92</v>
      </c>
      <c r="B35" t="s">
        <v>26</v>
      </c>
      <c r="C35">
        <v>2015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</row>
    <row r="36" spans="1:20" x14ac:dyDescent="0.2">
      <c r="A36" t="s">
        <v>92</v>
      </c>
      <c r="B36" t="s">
        <v>26</v>
      </c>
      <c r="C36">
        <v>2016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</row>
    <row r="37" spans="1:20" x14ac:dyDescent="0.2">
      <c r="A37" t="s">
        <v>92</v>
      </c>
      <c r="B37" t="s">
        <v>26</v>
      </c>
      <c r="C37">
        <v>2017</v>
      </c>
      <c r="D37">
        <v>29476454.259750001</v>
      </c>
      <c r="E37" t="s">
        <v>18</v>
      </c>
      <c r="F37" t="s">
        <v>18</v>
      </c>
      <c r="G37">
        <v>807.95038999999997</v>
      </c>
      <c r="H37">
        <v>23553773.88941</v>
      </c>
      <c r="I37" t="s">
        <v>18</v>
      </c>
      <c r="J37" t="s">
        <v>18</v>
      </c>
      <c r="K37">
        <v>7101362.2641700003</v>
      </c>
      <c r="L37" t="s">
        <v>18</v>
      </c>
      <c r="M37" t="s">
        <v>18</v>
      </c>
      <c r="N37" t="s">
        <v>18</v>
      </c>
      <c r="O37" t="s">
        <v>18</v>
      </c>
      <c r="P37">
        <v>14.105869999999999</v>
      </c>
      <c r="Q37">
        <v>14.03659</v>
      </c>
      <c r="R37" t="s">
        <v>18</v>
      </c>
      <c r="S37" t="s">
        <v>18</v>
      </c>
      <c r="T37">
        <v>23553773.88941</v>
      </c>
    </row>
    <row r="38" spans="1:20" x14ac:dyDescent="0.2">
      <c r="A38" t="s">
        <v>92</v>
      </c>
      <c r="B38" t="s">
        <v>26</v>
      </c>
      <c r="C38">
        <v>2018</v>
      </c>
      <c r="D38">
        <v>25968602.166310001</v>
      </c>
      <c r="E38" t="s">
        <v>18</v>
      </c>
      <c r="F38" t="s">
        <v>18</v>
      </c>
      <c r="G38">
        <v>802558.39364000002</v>
      </c>
      <c r="H38">
        <v>17120573.909189999</v>
      </c>
      <c r="I38" t="s">
        <v>18</v>
      </c>
      <c r="J38" t="s">
        <v>18</v>
      </c>
      <c r="K38">
        <v>-6386526.6522700004</v>
      </c>
      <c r="L38" t="s">
        <v>18</v>
      </c>
      <c r="M38" t="s">
        <v>18</v>
      </c>
      <c r="N38" t="s">
        <v>18</v>
      </c>
      <c r="O38" t="s">
        <v>18</v>
      </c>
      <c r="P38">
        <v>-17.283539999999999</v>
      </c>
      <c r="Q38">
        <v>-17.39546</v>
      </c>
      <c r="R38" t="s">
        <v>18</v>
      </c>
      <c r="S38" t="s">
        <v>18</v>
      </c>
      <c r="T38">
        <v>17120573.909189999</v>
      </c>
    </row>
    <row r="39" spans="1:20" x14ac:dyDescent="0.2">
      <c r="A39" t="s">
        <v>92</v>
      </c>
      <c r="B39" t="s">
        <v>26</v>
      </c>
      <c r="C39">
        <v>2019</v>
      </c>
      <c r="D39">
        <v>134843000</v>
      </c>
      <c r="E39" t="s">
        <v>18</v>
      </c>
      <c r="F39">
        <v>115630000</v>
      </c>
      <c r="G39">
        <v>397000</v>
      </c>
      <c r="H39">
        <v>10663000</v>
      </c>
      <c r="I39" t="s">
        <v>18</v>
      </c>
      <c r="J39" t="s">
        <v>18</v>
      </c>
      <c r="K39">
        <v>-6339000</v>
      </c>
      <c r="L39" t="s">
        <v>18</v>
      </c>
      <c r="M39" t="s">
        <v>18</v>
      </c>
      <c r="N39" t="s">
        <v>18</v>
      </c>
      <c r="O39" t="s">
        <v>18</v>
      </c>
      <c r="P39">
        <v>31.200369999999999</v>
      </c>
      <c r="Q39">
        <v>9.3757400000000004</v>
      </c>
      <c r="R39" t="s">
        <v>18</v>
      </c>
      <c r="S39" t="s">
        <v>18</v>
      </c>
      <c r="T39">
        <v>126293000</v>
      </c>
    </row>
    <row r="40" spans="1:20" x14ac:dyDescent="0.2">
      <c r="A40" t="s">
        <v>92</v>
      </c>
      <c r="B40" t="s">
        <v>26</v>
      </c>
      <c r="C40">
        <v>2020</v>
      </c>
      <c r="D40">
        <v>111169000</v>
      </c>
      <c r="E40" t="s">
        <v>18</v>
      </c>
      <c r="F40">
        <v>103470000</v>
      </c>
      <c r="G40">
        <v>1243000</v>
      </c>
      <c r="H40">
        <v>-13100000</v>
      </c>
      <c r="I40" t="s">
        <v>18</v>
      </c>
      <c r="J40">
        <v>263552573.43485799</v>
      </c>
      <c r="K40">
        <v>-23763000</v>
      </c>
      <c r="L40" t="s">
        <v>18</v>
      </c>
      <c r="M40" t="s">
        <v>18</v>
      </c>
      <c r="N40" t="s">
        <v>18</v>
      </c>
      <c r="O40" t="s">
        <v>18</v>
      </c>
      <c r="P40">
        <v>5.2107799999999997</v>
      </c>
      <c r="Q40">
        <v>-35.550519999999999</v>
      </c>
      <c r="R40" t="s">
        <v>18</v>
      </c>
      <c r="S40" t="s">
        <v>18</v>
      </c>
      <c r="T40">
        <v>90370000</v>
      </c>
    </row>
    <row r="41" spans="1:20" x14ac:dyDescent="0.2">
      <c r="A41" t="s">
        <v>92</v>
      </c>
      <c r="B41" t="s">
        <v>26</v>
      </c>
      <c r="C41">
        <v>2021</v>
      </c>
      <c r="D41">
        <v>336811000</v>
      </c>
      <c r="E41">
        <v>58666670</v>
      </c>
      <c r="F41">
        <v>74292000</v>
      </c>
      <c r="G41">
        <v>63636000</v>
      </c>
      <c r="H41">
        <v>241063000</v>
      </c>
      <c r="I41">
        <v>2.2162233479922602</v>
      </c>
      <c r="J41">
        <v>481007497.98523098</v>
      </c>
      <c r="K41">
        <v>-27032000</v>
      </c>
      <c r="L41">
        <v>77.220783170709396</v>
      </c>
      <c r="M41" t="s">
        <v>18</v>
      </c>
      <c r="N41" t="s">
        <v>18</v>
      </c>
      <c r="O41">
        <v>-92.972538241104402</v>
      </c>
      <c r="P41">
        <v>-104.77410999999999</v>
      </c>
      <c r="Q41">
        <v>-184.16490999999999</v>
      </c>
      <c r="R41">
        <v>10000000</v>
      </c>
      <c r="S41">
        <v>0</v>
      </c>
      <c r="T41">
        <v>315355000</v>
      </c>
    </row>
    <row r="42" spans="1:20" x14ac:dyDescent="0.2">
      <c r="A42" t="s">
        <v>92</v>
      </c>
      <c r="B42" t="s">
        <v>26</v>
      </c>
      <c r="C42">
        <v>2022</v>
      </c>
      <c r="D42">
        <v>424766000</v>
      </c>
      <c r="E42">
        <v>47000000</v>
      </c>
      <c r="F42">
        <v>73582000</v>
      </c>
      <c r="G42">
        <v>2308000</v>
      </c>
      <c r="H42">
        <v>325256000</v>
      </c>
      <c r="I42">
        <v>0.95494354298001105</v>
      </c>
      <c r="J42">
        <v>735323194.636724</v>
      </c>
      <c r="K42">
        <v>7451000</v>
      </c>
      <c r="L42">
        <v>-10.674241802453601</v>
      </c>
      <c r="M42" t="s">
        <v>18</v>
      </c>
      <c r="N42" t="s">
        <v>18</v>
      </c>
      <c r="O42">
        <v>-26.058505839536998</v>
      </c>
      <c r="P42">
        <v>45.329680000000003</v>
      </c>
      <c r="Q42">
        <v>18.27103</v>
      </c>
      <c r="R42">
        <v>40800000</v>
      </c>
      <c r="S42">
        <v>89.535300000000007</v>
      </c>
      <c r="T42">
        <v>398838000</v>
      </c>
    </row>
    <row r="43" spans="1:20" x14ac:dyDescent="0.2">
      <c r="A43" t="s">
        <v>92</v>
      </c>
      <c r="B43" t="s">
        <v>26</v>
      </c>
      <c r="C43">
        <v>2023</v>
      </c>
      <c r="D43">
        <v>670030000</v>
      </c>
      <c r="E43">
        <v>132500000</v>
      </c>
      <c r="F43">
        <v>115281000</v>
      </c>
      <c r="G43">
        <v>19012000</v>
      </c>
      <c r="H43">
        <v>540568000</v>
      </c>
      <c r="I43">
        <v>2.9156128824182801</v>
      </c>
      <c r="J43">
        <v>580889646.57734501</v>
      </c>
      <c r="K43">
        <v>35541000</v>
      </c>
      <c r="L43">
        <v>-0.48582241801287801</v>
      </c>
      <c r="M43" t="s">
        <v>18</v>
      </c>
      <c r="N43">
        <v>34.749108194302998</v>
      </c>
      <c r="O43">
        <v>-63.981487582700403</v>
      </c>
      <c r="P43">
        <v>60.019359999999999</v>
      </c>
      <c r="Q43">
        <v>38.704619999999998</v>
      </c>
      <c r="R43">
        <v>22200000</v>
      </c>
      <c r="S43">
        <v>97.934700000000007</v>
      </c>
      <c r="T43">
        <v>655849000</v>
      </c>
    </row>
    <row r="44" spans="1:20" x14ac:dyDescent="0.2">
      <c r="A44" t="s">
        <v>92</v>
      </c>
      <c r="B44" t="s">
        <v>26</v>
      </c>
      <c r="C44">
        <v>2024</v>
      </c>
      <c r="D44">
        <v>1252560000</v>
      </c>
      <c r="E44">
        <v>465857140</v>
      </c>
      <c r="F44">
        <v>206565000</v>
      </c>
      <c r="G44">
        <v>96608000</v>
      </c>
      <c r="H44">
        <v>959041000</v>
      </c>
      <c r="I44">
        <v>4.72627176698819</v>
      </c>
      <c r="J44">
        <v>4067895024.2722402</v>
      </c>
      <c r="K44">
        <v>11498000</v>
      </c>
      <c r="L44">
        <v>106.183673469388</v>
      </c>
      <c r="M44">
        <v>229.623734628383</v>
      </c>
      <c r="N44">
        <v>31.587126958899599</v>
      </c>
      <c r="O44">
        <v>608.53500052317702</v>
      </c>
      <c r="P44">
        <v>39.118229999999997</v>
      </c>
      <c r="Q44">
        <v>17.89969</v>
      </c>
      <c r="R44">
        <v>61035000</v>
      </c>
      <c r="S44">
        <v>91.915999999999997</v>
      </c>
      <c r="T44">
        <v>1165606000</v>
      </c>
    </row>
    <row r="45" spans="1:20" x14ac:dyDescent="0.2">
      <c r="A45" t="s">
        <v>92</v>
      </c>
      <c r="B45" t="s">
        <v>26</v>
      </c>
      <c r="C45">
        <v>2025</v>
      </c>
      <c r="D45">
        <v>1937016000</v>
      </c>
      <c r="E45">
        <v>1372285710</v>
      </c>
      <c r="F45">
        <v>581988000</v>
      </c>
      <c r="G45">
        <v>51464000</v>
      </c>
      <c r="H45">
        <v>1233894000</v>
      </c>
      <c r="I45">
        <v>3.5387414573646301</v>
      </c>
      <c r="J45">
        <v>2661666704.4532599</v>
      </c>
      <c r="K45">
        <v>65069000</v>
      </c>
      <c r="L45">
        <v>69.219857905432505</v>
      </c>
      <c r="M45">
        <v>526.14278290297602</v>
      </c>
      <c r="N45">
        <v>38.9461507304108</v>
      </c>
      <c r="O45">
        <v>84.216279839987493</v>
      </c>
      <c r="P45">
        <v>50.671390000000002</v>
      </c>
      <c r="Q45">
        <v>27.918530000000001</v>
      </c>
      <c r="R45">
        <v>274500000</v>
      </c>
      <c r="S45">
        <v>91.077799999999996</v>
      </c>
      <c r="T45">
        <v>1815882000</v>
      </c>
    </row>
    <row r="46" spans="1:20" x14ac:dyDescent="0.2">
      <c r="A46" t="s">
        <v>93</v>
      </c>
      <c r="B46" t="s">
        <v>27</v>
      </c>
      <c r="C46">
        <v>2004</v>
      </c>
      <c r="D46">
        <v>8985798.0790220499</v>
      </c>
      <c r="E46" t="s">
        <v>18</v>
      </c>
      <c r="F46">
        <v>20900.676708142299</v>
      </c>
      <c r="G46">
        <v>6853929.0547915297</v>
      </c>
      <c r="H46">
        <v>8803663.6105653793</v>
      </c>
      <c r="I46" t="s">
        <v>18</v>
      </c>
      <c r="J46">
        <v>100271281.693478</v>
      </c>
      <c r="K46">
        <v>-2428669.3274902799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8824564.2872735206</v>
      </c>
    </row>
    <row r="47" spans="1:20" x14ac:dyDescent="0.2">
      <c r="A47" t="s">
        <v>93</v>
      </c>
      <c r="B47" t="s">
        <v>27</v>
      </c>
      <c r="C47">
        <v>2005</v>
      </c>
      <c r="D47">
        <v>27626298.452389501</v>
      </c>
      <c r="E47" t="s">
        <v>18</v>
      </c>
      <c r="F47">
        <v>14803.5036182561</v>
      </c>
      <c r="G47">
        <v>2137625.9224761799</v>
      </c>
      <c r="H47">
        <v>26914249.928351399</v>
      </c>
      <c r="I47" t="s">
        <v>18</v>
      </c>
      <c r="J47">
        <v>123304121.855618</v>
      </c>
      <c r="K47">
        <v>-3872372.3276914498</v>
      </c>
      <c r="L47" t="s">
        <v>18</v>
      </c>
      <c r="M47" t="s">
        <v>18</v>
      </c>
      <c r="N47" t="s">
        <v>18</v>
      </c>
      <c r="O47" t="s">
        <v>18</v>
      </c>
      <c r="P47">
        <v>-3961.97183</v>
      </c>
      <c r="Q47">
        <v>-4449.2957699999997</v>
      </c>
      <c r="R47" t="s">
        <v>18</v>
      </c>
      <c r="S47" t="s">
        <v>18</v>
      </c>
      <c r="T47">
        <v>26929053.431969602</v>
      </c>
    </row>
    <row r="48" spans="1:20" x14ac:dyDescent="0.2">
      <c r="A48" t="s">
        <v>93</v>
      </c>
      <c r="B48" t="s">
        <v>27</v>
      </c>
      <c r="C48">
        <v>2006</v>
      </c>
      <c r="D48">
        <v>23838843.4237996</v>
      </c>
      <c r="E48" t="s">
        <v>18</v>
      </c>
      <c r="F48">
        <v>0</v>
      </c>
      <c r="G48">
        <v>20259693.517098699</v>
      </c>
      <c r="H48">
        <v>23205953.775380101</v>
      </c>
      <c r="I48" t="s">
        <v>18</v>
      </c>
      <c r="J48">
        <v>184612817.091656</v>
      </c>
      <c r="K48">
        <v>-5524423.2940348201</v>
      </c>
      <c r="L48" t="s">
        <v>18</v>
      </c>
      <c r="M48" t="s">
        <v>18</v>
      </c>
      <c r="N48" t="s">
        <v>18</v>
      </c>
      <c r="O48" t="s">
        <v>18</v>
      </c>
      <c r="P48">
        <v>-3631.8181800000002</v>
      </c>
      <c r="Q48">
        <v>-4080.9090900000001</v>
      </c>
      <c r="R48" t="s">
        <v>18</v>
      </c>
      <c r="S48" t="s">
        <v>18</v>
      </c>
      <c r="T48">
        <v>23205953.775380101</v>
      </c>
    </row>
    <row r="49" spans="1:20" x14ac:dyDescent="0.2">
      <c r="A49" t="s">
        <v>93</v>
      </c>
      <c r="B49" t="s">
        <v>27</v>
      </c>
      <c r="C49">
        <v>2007</v>
      </c>
      <c r="D49">
        <v>20276069.397842102</v>
      </c>
      <c r="E49" t="s">
        <v>18</v>
      </c>
      <c r="F49">
        <v>32643.507263265801</v>
      </c>
      <c r="G49">
        <v>16532452.633059399</v>
      </c>
      <c r="H49">
        <v>18974780.4946656</v>
      </c>
      <c r="I49" t="s">
        <v>18</v>
      </c>
      <c r="J49">
        <v>242392180.20227501</v>
      </c>
      <c r="K49">
        <v>-7230874.3267437099</v>
      </c>
      <c r="L49" t="s">
        <v>18</v>
      </c>
      <c r="M49" t="s">
        <v>18</v>
      </c>
      <c r="N49" t="s">
        <v>18</v>
      </c>
      <c r="O49" t="s">
        <v>18</v>
      </c>
      <c r="P49">
        <v>-5330.6122400000004</v>
      </c>
      <c r="Q49">
        <v>-6018.3673500000004</v>
      </c>
      <c r="R49" t="s">
        <v>18</v>
      </c>
      <c r="S49" t="s">
        <v>18</v>
      </c>
      <c r="T49">
        <v>19007424.001928799</v>
      </c>
    </row>
    <row r="50" spans="1:20" x14ac:dyDescent="0.2">
      <c r="A50" t="s">
        <v>93</v>
      </c>
      <c r="B50" t="s">
        <v>27</v>
      </c>
      <c r="C50">
        <v>2008</v>
      </c>
      <c r="D50">
        <v>38521347.920527697</v>
      </c>
      <c r="E50" t="s">
        <v>18</v>
      </c>
      <c r="F50">
        <v>97394.312588429893</v>
      </c>
      <c r="G50">
        <v>34753326.398437701</v>
      </c>
      <c r="H50">
        <v>36212976.226061702</v>
      </c>
      <c r="I50" t="s">
        <v>18</v>
      </c>
      <c r="J50">
        <v>73583178.667215198</v>
      </c>
      <c r="K50">
        <v>-6816660.42058264</v>
      </c>
      <c r="L50" t="s">
        <v>18</v>
      </c>
      <c r="M50" t="s">
        <v>18</v>
      </c>
      <c r="N50" t="s">
        <v>18</v>
      </c>
      <c r="O50" t="s">
        <v>18</v>
      </c>
      <c r="P50">
        <v>-774.79223999999999</v>
      </c>
      <c r="Q50">
        <v>-881.44043999999997</v>
      </c>
      <c r="R50" t="s">
        <v>18</v>
      </c>
      <c r="S50" t="s">
        <v>18</v>
      </c>
      <c r="T50">
        <v>36310370.538650103</v>
      </c>
    </row>
    <row r="51" spans="1:20" x14ac:dyDescent="0.2">
      <c r="A51" t="s">
        <v>93</v>
      </c>
      <c r="B51" t="s">
        <v>27</v>
      </c>
      <c r="C51">
        <v>2009</v>
      </c>
      <c r="D51">
        <v>31770754.0252214</v>
      </c>
      <c r="E51" t="s">
        <v>18</v>
      </c>
      <c r="F51" t="s">
        <v>18</v>
      </c>
      <c r="G51">
        <v>15492949.9522571</v>
      </c>
      <c r="H51">
        <v>25097734.236607298</v>
      </c>
      <c r="I51" t="s">
        <v>18</v>
      </c>
      <c r="J51">
        <v>130011292.00586499</v>
      </c>
      <c r="K51">
        <v>-9359272.2549618296</v>
      </c>
      <c r="L51" t="s">
        <v>18</v>
      </c>
      <c r="M51">
        <v>25.751299873586198</v>
      </c>
      <c r="N51" t="s">
        <v>18</v>
      </c>
      <c r="O51" t="s">
        <v>18</v>
      </c>
      <c r="P51">
        <v>-883.50840000000005</v>
      </c>
      <c r="Q51">
        <v>-975.84033999999997</v>
      </c>
      <c r="R51" t="s">
        <v>18</v>
      </c>
      <c r="S51" t="s">
        <v>18</v>
      </c>
      <c r="T51">
        <v>25097734.236607298</v>
      </c>
    </row>
    <row r="52" spans="1:20" x14ac:dyDescent="0.2">
      <c r="A52" t="s">
        <v>93</v>
      </c>
      <c r="B52" t="s">
        <v>27</v>
      </c>
      <c r="C52">
        <v>2010</v>
      </c>
      <c r="D52">
        <v>57488407.186523803</v>
      </c>
      <c r="E52" t="s">
        <v>18</v>
      </c>
      <c r="F52" t="s">
        <v>18</v>
      </c>
      <c r="G52">
        <v>19425886.731536701</v>
      </c>
      <c r="H52">
        <v>49623977.444957599</v>
      </c>
      <c r="I52" t="s">
        <v>18</v>
      </c>
      <c r="J52">
        <v>73780273.706056595</v>
      </c>
      <c r="K52">
        <v>-13344184.803120101</v>
      </c>
      <c r="L52" t="s">
        <v>18</v>
      </c>
      <c r="M52">
        <v>52.785267381921102</v>
      </c>
      <c r="N52" t="s">
        <v>18</v>
      </c>
      <c r="O52" t="s">
        <v>18</v>
      </c>
      <c r="P52">
        <v>-1535.8778600000001</v>
      </c>
      <c r="Q52">
        <v>-1677.7353700000001</v>
      </c>
      <c r="R52" t="s">
        <v>18</v>
      </c>
      <c r="S52" t="s">
        <v>18</v>
      </c>
      <c r="T52">
        <v>49623977.444957599</v>
      </c>
    </row>
    <row r="53" spans="1:20" x14ac:dyDescent="0.2">
      <c r="A53" t="s">
        <v>93</v>
      </c>
      <c r="B53" t="s">
        <v>27</v>
      </c>
      <c r="C53">
        <v>2011</v>
      </c>
      <c r="D53">
        <v>37476256.206171699</v>
      </c>
      <c r="E53" t="s">
        <v>18</v>
      </c>
      <c r="F53" t="s">
        <v>18</v>
      </c>
      <c r="G53">
        <v>20674838.358714301</v>
      </c>
      <c r="H53">
        <v>30323538.8096346</v>
      </c>
      <c r="I53" t="s">
        <v>18</v>
      </c>
      <c r="J53">
        <v>9220537.2776956894</v>
      </c>
      <c r="K53">
        <v>-16132248.1407486</v>
      </c>
      <c r="L53" t="s">
        <v>18</v>
      </c>
      <c r="M53">
        <v>16.047446328490999</v>
      </c>
      <c r="N53" t="s">
        <v>18</v>
      </c>
      <c r="O53" t="s">
        <v>18</v>
      </c>
      <c r="P53">
        <v>-2189.0173399999999</v>
      </c>
      <c r="Q53">
        <v>-2407.22543</v>
      </c>
      <c r="R53" t="s">
        <v>18</v>
      </c>
      <c r="S53" t="s">
        <v>18</v>
      </c>
      <c r="T53">
        <v>30323538.8096346</v>
      </c>
    </row>
    <row r="54" spans="1:20" x14ac:dyDescent="0.2">
      <c r="A54" t="s">
        <v>93</v>
      </c>
      <c r="B54" t="s">
        <v>27</v>
      </c>
      <c r="C54">
        <v>2012</v>
      </c>
      <c r="D54">
        <v>37476256.206171699</v>
      </c>
      <c r="E54" t="s">
        <v>18</v>
      </c>
      <c r="F54" t="s">
        <v>18</v>
      </c>
      <c r="G54">
        <v>20674838.358714301</v>
      </c>
      <c r="H54">
        <v>30323538.8096346</v>
      </c>
      <c r="I54" t="s">
        <v>18</v>
      </c>
      <c r="J54">
        <v>5685525.8343077796</v>
      </c>
      <c r="K54">
        <v>-16132248.1407486</v>
      </c>
      <c r="L54" t="s">
        <v>18</v>
      </c>
      <c r="M54">
        <v>16.047446328490999</v>
      </c>
      <c r="N54" t="s">
        <v>18</v>
      </c>
      <c r="O54" t="s">
        <v>18</v>
      </c>
      <c r="P54">
        <v>-2189.0173399999999</v>
      </c>
      <c r="Q54">
        <v>-2407.22543</v>
      </c>
      <c r="R54" t="s">
        <v>18</v>
      </c>
      <c r="S54" t="s">
        <v>18</v>
      </c>
      <c r="T54">
        <v>30323538.8096346</v>
      </c>
    </row>
    <row r="55" spans="1:20" x14ac:dyDescent="0.2">
      <c r="A55" t="s">
        <v>93</v>
      </c>
      <c r="B55" t="s">
        <v>27</v>
      </c>
      <c r="C55">
        <v>2013</v>
      </c>
      <c r="D55">
        <v>22414079.092264201</v>
      </c>
      <c r="E55" t="s">
        <v>18</v>
      </c>
      <c r="F55" t="s">
        <v>18</v>
      </c>
      <c r="G55">
        <v>10792526.9978402</v>
      </c>
      <c r="H55">
        <v>17080957.138076801</v>
      </c>
      <c r="I55" t="s">
        <v>18</v>
      </c>
      <c r="J55">
        <v>49133874.183633</v>
      </c>
      <c r="K55">
        <v>-13801387.6375726</v>
      </c>
      <c r="L55" t="s">
        <v>18</v>
      </c>
      <c r="M55">
        <v>-47.908479500007097</v>
      </c>
      <c r="N55" t="s">
        <v>18</v>
      </c>
      <c r="O55" t="s">
        <v>18</v>
      </c>
      <c r="P55">
        <v>-1527.7246700000001</v>
      </c>
      <c r="Q55">
        <v>-1849.52199</v>
      </c>
      <c r="R55" t="s">
        <v>18</v>
      </c>
      <c r="S55" t="s">
        <v>18</v>
      </c>
      <c r="T55">
        <v>17080957.138076801</v>
      </c>
    </row>
    <row r="56" spans="1:20" x14ac:dyDescent="0.2">
      <c r="A56" t="s">
        <v>93</v>
      </c>
      <c r="B56" t="s">
        <v>27</v>
      </c>
      <c r="C56">
        <v>2014</v>
      </c>
      <c r="D56">
        <v>14739618.584207</v>
      </c>
      <c r="E56" t="s">
        <v>18</v>
      </c>
      <c r="F56" t="s">
        <v>18</v>
      </c>
      <c r="G56">
        <v>9617791.6331731305</v>
      </c>
      <c r="H56">
        <v>10085002.189194299</v>
      </c>
      <c r="I56" t="s">
        <v>18</v>
      </c>
      <c r="J56">
        <v>64801193.568922199</v>
      </c>
      <c r="K56">
        <v>-8861201.9727601893</v>
      </c>
      <c r="L56" t="s">
        <v>18</v>
      </c>
      <c r="M56">
        <v>-24.272334312726301</v>
      </c>
      <c r="N56" t="s">
        <v>18</v>
      </c>
      <c r="O56" t="s">
        <v>18</v>
      </c>
      <c r="P56">
        <v>-606.45425</v>
      </c>
      <c r="Q56">
        <v>-701.63399000000004</v>
      </c>
      <c r="R56" t="s">
        <v>18</v>
      </c>
      <c r="S56" t="s">
        <v>18</v>
      </c>
      <c r="T56">
        <v>10085002.189194299</v>
      </c>
    </row>
    <row r="57" spans="1:20" x14ac:dyDescent="0.2">
      <c r="A57" t="s">
        <v>93</v>
      </c>
      <c r="B57" t="s">
        <v>27</v>
      </c>
      <c r="C57">
        <v>2015</v>
      </c>
      <c r="D57">
        <v>32108181.596884102</v>
      </c>
      <c r="E57" t="s">
        <v>18</v>
      </c>
      <c r="F57" t="s">
        <v>18</v>
      </c>
      <c r="G57">
        <v>17184541.382668</v>
      </c>
      <c r="H57">
        <v>26348031.6455696</v>
      </c>
      <c r="I57" t="s">
        <v>18</v>
      </c>
      <c r="J57">
        <v>66956131.743211098</v>
      </c>
      <c r="K57">
        <v>-13196335.9061861</v>
      </c>
      <c r="L57" t="s">
        <v>18</v>
      </c>
      <c r="M57">
        <v>-15.076202299451399</v>
      </c>
      <c r="N57" t="s">
        <v>18</v>
      </c>
      <c r="O57" t="s">
        <v>18</v>
      </c>
      <c r="P57">
        <v>-3317.9012299999999</v>
      </c>
      <c r="Q57">
        <v>-3617.9012299999999</v>
      </c>
      <c r="R57" t="s">
        <v>18</v>
      </c>
      <c r="S57" t="s">
        <v>18</v>
      </c>
      <c r="T57">
        <v>26348031.6455696</v>
      </c>
    </row>
    <row r="58" spans="1:20" x14ac:dyDescent="0.2">
      <c r="A58" t="s">
        <v>93</v>
      </c>
      <c r="B58" t="s">
        <v>27</v>
      </c>
      <c r="C58">
        <v>2016</v>
      </c>
      <c r="D58">
        <v>14847095.5637757</v>
      </c>
      <c r="E58" t="s">
        <v>18</v>
      </c>
      <c r="F58" t="s">
        <v>18</v>
      </c>
      <c r="G58">
        <v>7126366.2080528</v>
      </c>
      <c r="H58">
        <v>11128730.9524443</v>
      </c>
      <c r="I58" t="s">
        <v>18</v>
      </c>
      <c r="J58">
        <v>103689213.319196</v>
      </c>
      <c r="K58">
        <v>-13984507.3574437</v>
      </c>
      <c r="L58" t="s">
        <v>18</v>
      </c>
      <c r="M58">
        <v>-10.8570359942804</v>
      </c>
      <c r="N58" t="s">
        <v>18</v>
      </c>
      <c r="O58" t="s">
        <v>18</v>
      </c>
      <c r="P58">
        <v>-1034.6810399999999</v>
      </c>
      <c r="Q58">
        <v>-1140.5211099999999</v>
      </c>
      <c r="R58" t="s">
        <v>18</v>
      </c>
      <c r="S58">
        <v>100</v>
      </c>
      <c r="T58">
        <v>11128730.9524443</v>
      </c>
    </row>
    <row r="59" spans="1:20" x14ac:dyDescent="0.2">
      <c r="A59" t="s">
        <v>93</v>
      </c>
      <c r="B59" t="s">
        <v>27</v>
      </c>
      <c r="C59">
        <v>2017</v>
      </c>
      <c r="D59">
        <v>27298820.748941701</v>
      </c>
      <c r="E59" t="s">
        <v>18</v>
      </c>
      <c r="F59" t="s">
        <v>18</v>
      </c>
      <c r="G59">
        <v>3600922.0970367999</v>
      </c>
      <c r="H59">
        <v>23319334.327580601</v>
      </c>
      <c r="I59" t="s">
        <v>18</v>
      </c>
      <c r="J59">
        <v>143725067.79157501</v>
      </c>
      <c r="K59">
        <v>-10949187.682014201</v>
      </c>
      <c r="L59" t="s">
        <v>18</v>
      </c>
      <c r="M59">
        <v>-8.3556055318806894</v>
      </c>
      <c r="N59" t="s">
        <v>18</v>
      </c>
      <c r="O59" t="s">
        <v>18</v>
      </c>
      <c r="P59">
        <v>-329.04777000000001</v>
      </c>
      <c r="Q59">
        <v>-369.41327000000001</v>
      </c>
      <c r="R59" t="s">
        <v>18</v>
      </c>
      <c r="S59">
        <v>100</v>
      </c>
      <c r="T59">
        <v>23319334.327580601</v>
      </c>
    </row>
    <row r="60" spans="1:20" x14ac:dyDescent="0.2">
      <c r="A60" t="s">
        <v>93</v>
      </c>
      <c r="B60" t="s">
        <v>27</v>
      </c>
      <c r="C60">
        <v>2018</v>
      </c>
      <c r="D60">
        <v>18910105.154720899</v>
      </c>
      <c r="E60" t="s">
        <v>18</v>
      </c>
      <c r="F60" t="s">
        <v>18</v>
      </c>
      <c r="G60">
        <v>7229203.8775968403</v>
      </c>
      <c r="H60">
        <v>13092828.664632799</v>
      </c>
      <c r="I60" t="s">
        <v>18</v>
      </c>
      <c r="J60">
        <v>247979888.90079701</v>
      </c>
      <c r="K60">
        <v>-11199940.179168399</v>
      </c>
      <c r="L60" t="s">
        <v>18</v>
      </c>
      <c r="M60">
        <v>104.46843851011</v>
      </c>
      <c r="N60" t="s">
        <v>18</v>
      </c>
      <c r="O60" t="s">
        <v>18</v>
      </c>
      <c r="P60">
        <v>-170.20066</v>
      </c>
      <c r="Q60">
        <v>-188.68700000000001</v>
      </c>
      <c r="R60" t="s">
        <v>18</v>
      </c>
      <c r="S60">
        <v>100</v>
      </c>
      <c r="T60">
        <v>13092828.664632799</v>
      </c>
    </row>
    <row r="61" spans="1:20" x14ac:dyDescent="0.2">
      <c r="A61" t="s">
        <v>93</v>
      </c>
      <c r="B61" t="s">
        <v>27</v>
      </c>
      <c r="C61">
        <v>2019</v>
      </c>
      <c r="D61">
        <v>104112379.03635301</v>
      </c>
      <c r="E61" t="s">
        <v>18</v>
      </c>
      <c r="F61" t="s">
        <v>18</v>
      </c>
      <c r="G61">
        <v>8448907.4177497998</v>
      </c>
      <c r="H61">
        <v>94283420.136068195</v>
      </c>
      <c r="I61" t="s">
        <v>18</v>
      </c>
      <c r="J61">
        <v>384815983.94329</v>
      </c>
      <c r="K61">
        <v>-5485118.9133882904</v>
      </c>
      <c r="L61" t="s">
        <v>18</v>
      </c>
      <c r="M61">
        <v>76.792676424490395</v>
      </c>
      <c r="N61">
        <v>31.639716351555499</v>
      </c>
      <c r="O61" t="s">
        <v>18</v>
      </c>
      <c r="P61">
        <v>-45.006540000000001</v>
      </c>
      <c r="Q61">
        <v>-51.790849999999999</v>
      </c>
      <c r="R61" t="s">
        <v>18</v>
      </c>
      <c r="S61">
        <v>100</v>
      </c>
      <c r="T61">
        <v>94283420.136068195</v>
      </c>
    </row>
    <row r="62" spans="1:20" x14ac:dyDescent="0.2">
      <c r="A62" t="s">
        <v>93</v>
      </c>
      <c r="B62" t="s">
        <v>27</v>
      </c>
      <c r="C62">
        <v>2020</v>
      </c>
      <c r="D62" t="s">
        <v>18</v>
      </c>
      <c r="E62">
        <v>108508372.47641601</v>
      </c>
      <c r="F62" t="s">
        <v>18</v>
      </c>
      <c r="G62" t="s">
        <v>18</v>
      </c>
      <c r="H62" t="s">
        <v>18</v>
      </c>
      <c r="I62">
        <v>-8.60286519322438</v>
      </c>
      <c r="J62">
        <v>1630931038.0048599</v>
      </c>
      <c r="K62" t="s">
        <v>18</v>
      </c>
      <c r="L62">
        <v>-10.927362971592</v>
      </c>
      <c r="M62">
        <v>45.433100472015902</v>
      </c>
      <c r="N62">
        <v>31.639716351555499</v>
      </c>
      <c r="O62" t="s">
        <v>18</v>
      </c>
      <c r="P62" t="s">
        <v>18</v>
      </c>
      <c r="Q62" t="s">
        <v>18</v>
      </c>
      <c r="R62">
        <v>-18270509.472877</v>
      </c>
      <c r="S62">
        <v>100</v>
      </c>
      <c r="T62" t="s">
        <v>18</v>
      </c>
    </row>
    <row r="63" spans="1:20" x14ac:dyDescent="0.2">
      <c r="A63" t="s">
        <v>93</v>
      </c>
      <c r="B63" t="s">
        <v>27</v>
      </c>
      <c r="C63">
        <v>2021</v>
      </c>
      <c r="D63" t="s">
        <v>18</v>
      </c>
      <c r="E63">
        <v>251090795.30760801</v>
      </c>
      <c r="F63" t="s">
        <v>18</v>
      </c>
      <c r="G63" t="s">
        <v>18</v>
      </c>
      <c r="H63" t="s">
        <v>18</v>
      </c>
      <c r="I63">
        <v>-14.266954055555299</v>
      </c>
      <c r="J63">
        <v>2485311714.6306801</v>
      </c>
      <c r="K63" t="s">
        <v>18</v>
      </c>
      <c r="L63">
        <v>10.000120560848901</v>
      </c>
      <c r="M63" t="s">
        <v>18</v>
      </c>
      <c r="N63">
        <v>35.1939845541918</v>
      </c>
      <c r="O63">
        <v>208.98682724135199</v>
      </c>
      <c r="P63" t="s">
        <v>18</v>
      </c>
      <c r="Q63" t="s">
        <v>18</v>
      </c>
      <c r="R63">
        <v>-22929193.791429099</v>
      </c>
      <c r="S63">
        <v>100</v>
      </c>
      <c r="T63" t="s">
        <v>18</v>
      </c>
    </row>
    <row r="64" spans="1:20" x14ac:dyDescent="0.2">
      <c r="A64" t="s">
        <v>93</v>
      </c>
      <c r="B64" t="s">
        <v>27</v>
      </c>
      <c r="C64">
        <v>2022</v>
      </c>
      <c r="D64">
        <v>355215312.399378</v>
      </c>
      <c r="E64">
        <v>-186827143.95044601</v>
      </c>
      <c r="F64">
        <v>3616703.9707772401</v>
      </c>
      <c r="G64">
        <v>180246100.65615901</v>
      </c>
      <c r="H64">
        <v>332646317.95981902</v>
      </c>
      <c r="I64">
        <v>4.2865164215157003</v>
      </c>
      <c r="J64">
        <v>865579405.81657004</v>
      </c>
      <c r="K64">
        <v>-24532816.630560301</v>
      </c>
      <c r="L64">
        <v>147.055807766768</v>
      </c>
      <c r="M64">
        <v>69.149774018562198</v>
      </c>
      <c r="N64">
        <v>48.221629041933099</v>
      </c>
      <c r="O64">
        <v>159.07987739928799</v>
      </c>
      <c r="P64">
        <v>-57.414870000000001</v>
      </c>
      <c r="Q64">
        <v>-76.130750000000006</v>
      </c>
      <c r="R64">
        <v>-48854903.089948103</v>
      </c>
      <c r="S64">
        <v>100</v>
      </c>
      <c r="T64">
        <v>336263021.93059599</v>
      </c>
    </row>
    <row r="65" spans="1:20" x14ac:dyDescent="0.2">
      <c r="A65" t="s">
        <v>93</v>
      </c>
      <c r="B65" t="s">
        <v>27</v>
      </c>
      <c r="C65">
        <v>2023</v>
      </c>
      <c r="D65">
        <v>293332535.897901</v>
      </c>
      <c r="E65">
        <v>-144670775.33655101</v>
      </c>
      <c r="F65">
        <v>3531198.9354624101</v>
      </c>
      <c r="G65">
        <v>81140712.030484498</v>
      </c>
      <c r="H65">
        <v>264237446.07754201</v>
      </c>
      <c r="I65">
        <v>2.7768888554730098</v>
      </c>
      <c r="J65">
        <v>392520219.88134003</v>
      </c>
      <c r="K65">
        <v>-55860338.864807203</v>
      </c>
      <c r="L65">
        <v>161.76389419323399</v>
      </c>
      <c r="M65">
        <v>64.678862872602707</v>
      </c>
      <c r="N65">
        <v>47.993860768303797</v>
      </c>
      <c r="O65">
        <v>-27.303506799125898</v>
      </c>
      <c r="P65">
        <v>-241.81322</v>
      </c>
      <c r="Q65">
        <v>-278.42126999999999</v>
      </c>
      <c r="R65">
        <v>-60943489.093091197</v>
      </c>
      <c r="S65">
        <v>100</v>
      </c>
      <c r="T65">
        <v>267768645.013004</v>
      </c>
    </row>
    <row r="66" spans="1:20" x14ac:dyDescent="0.2">
      <c r="A66" t="s">
        <v>93</v>
      </c>
      <c r="B66" t="s">
        <v>27</v>
      </c>
      <c r="C66">
        <v>2024</v>
      </c>
      <c r="D66">
        <v>238031415.536971</v>
      </c>
      <c r="E66">
        <v>-126833394.219246</v>
      </c>
      <c r="F66">
        <v>2994250.93876096</v>
      </c>
      <c r="G66">
        <v>57332523.656776302</v>
      </c>
      <c r="H66">
        <v>208346116.457275</v>
      </c>
      <c r="I66">
        <v>4.5388832658030402</v>
      </c>
      <c r="J66">
        <v>387515069.43270802</v>
      </c>
      <c r="K66">
        <v>-62115105.186659098</v>
      </c>
      <c r="L66">
        <v>7.78122419271934</v>
      </c>
      <c r="M66">
        <v>10.389667036374499</v>
      </c>
      <c r="N66">
        <v>53.950877026755201</v>
      </c>
      <c r="O66">
        <v>62.234244811457202</v>
      </c>
      <c r="P66">
        <v>-240.41390000000001</v>
      </c>
      <c r="Q66">
        <v>-281.29367000000002</v>
      </c>
      <c r="R66">
        <v>-38953556.289328501</v>
      </c>
      <c r="S66">
        <v>100</v>
      </c>
      <c r="T66">
        <v>211340367.396036</v>
      </c>
    </row>
    <row r="67" spans="1:20" x14ac:dyDescent="0.2">
      <c r="A67" t="s">
        <v>93</v>
      </c>
      <c r="B67" t="s">
        <v>27</v>
      </c>
      <c r="C67">
        <v>2025</v>
      </c>
      <c r="D67">
        <v>218850729.01288599</v>
      </c>
      <c r="E67">
        <v>-82223938.098630607</v>
      </c>
      <c r="F67">
        <v>2686345.1770298998</v>
      </c>
      <c r="G67">
        <v>57393287.376454398</v>
      </c>
      <c r="H67">
        <v>185896778.05579901</v>
      </c>
      <c r="I67">
        <v>2.23459562191865</v>
      </c>
      <c r="J67">
        <v>786280926.50930405</v>
      </c>
      <c r="K67">
        <v>-33439327.456459999</v>
      </c>
      <c r="L67">
        <v>91.848143613527199</v>
      </c>
      <c r="M67">
        <v>-3.5697831678801601</v>
      </c>
      <c r="N67">
        <v>53.613307974107002</v>
      </c>
      <c r="O67">
        <v>37.437803868990102</v>
      </c>
      <c r="P67">
        <v>-46.950339999999997</v>
      </c>
      <c r="Q67">
        <v>-65.365859999999998</v>
      </c>
      <c r="R67">
        <v>-44235574.8679692</v>
      </c>
      <c r="S67">
        <v>100</v>
      </c>
      <c r="T67">
        <v>188583123.232829</v>
      </c>
    </row>
    <row r="68" spans="1:20" x14ac:dyDescent="0.2">
      <c r="A68" t="s">
        <v>94</v>
      </c>
      <c r="B68" t="s">
        <v>28</v>
      </c>
      <c r="C68">
        <v>2004</v>
      </c>
      <c r="D68">
        <v>1763589075.7502699</v>
      </c>
      <c r="E68" t="s">
        <v>18</v>
      </c>
      <c r="F68">
        <v>1820328047.0604999</v>
      </c>
      <c r="G68">
        <v>47660735.900594503</v>
      </c>
      <c r="H68">
        <v>-601149401.03190303</v>
      </c>
      <c r="I68" t="s">
        <v>18</v>
      </c>
      <c r="J68" t="s">
        <v>18</v>
      </c>
      <c r="K68">
        <v>-378829545.59526902</v>
      </c>
      <c r="L68" t="s">
        <v>18</v>
      </c>
      <c r="M68" t="s">
        <v>18</v>
      </c>
      <c r="N68" t="s">
        <v>18</v>
      </c>
      <c r="O68" t="s">
        <v>18</v>
      </c>
      <c r="P68">
        <v>9.2664100000000005</v>
      </c>
      <c r="Q68">
        <v>2.56046</v>
      </c>
      <c r="R68" t="s">
        <v>18</v>
      </c>
      <c r="S68" t="s">
        <v>18</v>
      </c>
      <c r="T68">
        <v>1219178646.0286</v>
      </c>
    </row>
    <row r="69" spans="1:20" x14ac:dyDescent="0.2">
      <c r="A69" t="s">
        <v>94</v>
      </c>
      <c r="B69" t="s">
        <v>28</v>
      </c>
      <c r="C69">
        <v>2005</v>
      </c>
      <c r="D69">
        <v>1737697770.8289399</v>
      </c>
      <c r="E69" t="s">
        <v>18</v>
      </c>
      <c r="F69">
        <v>1815802906.3633101</v>
      </c>
      <c r="G69">
        <v>107111571.73825499</v>
      </c>
      <c r="H69">
        <v>-614228973.46864402</v>
      </c>
      <c r="I69" t="s">
        <v>18</v>
      </c>
      <c r="J69" t="s">
        <v>18</v>
      </c>
      <c r="K69">
        <v>-61332368.860475801</v>
      </c>
      <c r="L69" t="s">
        <v>18</v>
      </c>
      <c r="M69" t="s">
        <v>18</v>
      </c>
      <c r="N69" t="s">
        <v>18</v>
      </c>
      <c r="O69" t="s">
        <v>18</v>
      </c>
      <c r="P69">
        <v>14.100300000000001</v>
      </c>
      <c r="Q69">
        <v>8.8126899999999999</v>
      </c>
      <c r="R69" t="s">
        <v>18</v>
      </c>
      <c r="S69" t="s">
        <v>18</v>
      </c>
      <c r="T69">
        <v>1201573932.89466</v>
      </c>
    </row>
    <row r="70" spans="1:20" x14ac:dyDescent="0.2">
      <c r="A70" t="s">
        <v>94</v>
      </c>
      <c r="B70" t="s">
        <v>28</v>
      </c>
      <c r="C70">
        <v>2006</v>
      </c>
      <c r="D70">
        <v>2061688060.6519599</v>
      </c>
      <c r="E70">
        <v>602622827.01100397</v>
      </c>
      <c r="F70">
        <v>816215078.65478003</v>
      </c>
      <c r="G70">
        <v>144055056.62455699</v>
      </c>
      <c r="H70">
        <v>320090045.09311199</v>
      </c>
      <c r="I70" t="s">
        <v>18</v>
      </c>
      <c r="J70">
        <v>4430278688.8159704</v>
      </c>
      <c r="K70">
        <v>385500020.99488002</v>
      </c>
      <c r="L70" t="s">
        <v>18</v>
      </c>
      <c r="M70" t="s">
        <v>18</v>
      </c>
      <c r="N70">
        <v>25.731716661612602</v>
      </c>
      <c r="O70" t="s">
        <v>18</v>
      </c>
      <c r="P70">
        <v>25.759209999999999</v>
      </c>
      <c r="Q70">
        <v>22.420850000000002</v>
      </c>
      <c r="R70">
        <v>861034818.75775003</v>
      </c>
      <c r="S70" t="s">
        <v>18</v>
      </c>
      <c r="T70">
        <v>1136305123.74789</v>
      </c>
    </row>
    <row r="71" spans="1:20" x14ac:dyDescent="0.2">
      <c r="A71" t="s">
        <v>94</v>
      </c>
      <c r="B71" t="s">
        <v>28</v>
      </c>
      <c r="C71">
        <v>2007</v>
      </c>
      <c r="D71">
        <v>2666555441.5106201</v>
      </c>
      <c r="E71">
        <v>425780336.68849498</v>
      </c>
      <c r="F71">
        <v>706865787.82417905</v>
      </c>
      <c r="G71">
        <v>229783334.639191</v>
      </c>
      <c r="H71">
        <v>1005079430.7764601</v>
      </c>
      <c r="I71" t="s">
        <v>18</v>
      </c>
      <c r="J71">
        <v>3263039998.8784699</v>
      </c>
      <c r="K71">
        <v>930392403.68915403</v>
      </c>
      <c r="L71" t="s">
        <v>18</v>
      </c>
      <c r="M71" t="s">
        <v>18</v>
      </c>
      <c r="N71">
        <v>33.925214898481599</v>
      </c>
      <c r="O71" t="s">
        <v>18</v>
      </c>
      <c r="P71">
        <v>42.033169999999998</v>
      </c>
      <c r="Q71">
        <v>39.516939999999998</v>
      </c>
      <c r="R71">
        <v>687416422.021608</v>
      </c>
      <c r="S71" t="s">
        <v>18</v>
      </c>
      <c r="T71">
        <v>1711945218.6006401</v>
      </c>
    </row>
    <row r="72" spans="1:20" x14ac:dyDescent="0.2">
      <c r="A72" t="s">
        <v>94</v>
      </c>
      <c r="B72" t="s">
        <v>28</v>
      </c>
      <c r="C72">
        <v>2008</v>
      </c>
      <c r="D72">
        <v>1897248327.87536</v>
      </c>
      <c r="E72">
        <v>297875784.09225702</v>
      </c>
      <c r="F72">
        <v>539952575.17118204</v>
      </c>
      <c r="G72">
        <v>81217356.3560583</v>
      </c>
      <c r="H72">
        <v>491113327.37918001</v>
      </c>
      <c r="I72" t="s">
        <v>18</v>
      </c>
      <c r="J72">
        <v>2318579013.3397102</v>
      </c>
      <c r="K72">
        <v>655323598.83526504</v>
      </c>
      <c r="L72" t="s">
        <v>18</v>
      </c>
      <c r="M72">
        <v>67.126481475729804</v>
      </c>
      <c r="N72">
        <v>56.082422177101598</v>
      </c>
      <c r="O72" t="s">
        <v>18</v>
      </c>
      <c r="P72">
        <v>40.532310000000003</v>
      </c>
      <c r="Q72">
        <v>37.029020000000003</v>
      </c>
      <c r="R72">
        <v>461731776.95058697</v>
      </c>
      <c r="S72" t="s">
        <v>18</v>
      </c>
      <c r="T72">
        <v>1031065902.55036</v>
      </c>
    </row>
    <row r="73" spans="1:20" x14ac:dyDescent="0.2">
      <c r="A73" t="s">
        <v>94</v>
      </c>
      <c r="B73" t="s">
        <v>28</v>
      </c>
      <c r="C73">
        <v>2009</v>
      </c>
      <c r="D73">
        <v>2205004304.4565701</v>
      </c>
      <c r="E73">
        <v>147679307.24372199</v>
      </c>
      <c r="F73">
        <v>381818474.20690101</v>
      </c>
      <c r="G73">
        <v>136236682.219069</v>
      </c>
      <c r="H73">
        <v>725444637.34624302</v>
      </c>
      <c r="I73" t="s">
        <v>18</v>
      </c>
      <c r="J73">
        <v>1691910066.0595901</v>
      </c>
      <c r="K73">
        <v>556683539.94217002</v>
      </c>
      <c r="L73" t="s">
        <v>18</v>
      </c>
      <c r="M73">
        <v>56.615554444402399</v>
      </c>
      <c r="N73">
        <v>50.646565787589701</v>
      </c>
      <c r="O73" t="s">
        <v>18</v>
      </c>
      <c r="P73">
        <v>25.901409999999998</v>
      </c>
      <c r="Q73">
        <v>23.265630000000002</v>
      </c>
      <c r="R73">
        <v>313550946.78113198</v>
      </c>
      <c r="S73" t="s">
        <v>18</v>
      </c>
      <c r="T73">
        <v>1107263111.5531399</v>
      </c>
    </row>
    <row r="74" spans="1:20" x14ac:dyDescent="0.2">
      <c r="A74" t="s">
        <v>94</v>
      </c>
      <c r="B74" t="s">
        <v>28</v>
      </c>
      <c r="C74">
        <v>2010</v>
      </c>
      <c r="D74">
        <v>2436650439.3900199</v>
      </c>
      <c r="E74">
        <v>-97107032.791135907</v>
      </c>
      <c r="F74">
        <v>214168867.924528</v>
      </c>
      <c r="G74">
        <v>90722744.895321801</v>
      </c>
      <c r="H74">
        <v>1156263640.47558</v>
      </c>
      <c r="I74" t="s">
        <v>18</v>
      </c>
      <c r="J74">
        <v>1553182832.55231</v>
      </c>
      <c r="K74">
        <v>177271398.247816</v>
      </c>
      <c r="L74" t="s">
        <v>18</v>
      </c>
      <c r="M74">
        <v>46.705306400584703</v>
      </c>
      <c r="N74">
        <v>51.818412494674597</v>
      </c>
      <c r="O74" t="s">
        <v>18</v>
      </c>
      <c r="P74">
        <v>24.047969999999999</v>
      </c>
      <c r="Q74">
        <v>20.524460000000001</v>
      </c>
      <c r="R74">
        <v>384863090.83385402</v>
      </c>
      <c r="S74">
        <v>3.1036000000000001</v>
      </c>
      <c r="T74">
        <v>1370432508.4001</v>
      </c>
    </row>
    <row r="75" spans="1:20" x14ac:dyDescent="0.2">
      <c r="A75" t="s">
        <v>94</v>
      </c>
      <c r="B75" t="s">
        <v>28</v>
      </c>
      <c r="C75">
        <v>2011</v>
      </c>
      <c r="D75">
        <v>2387001185.5179601</v>
      </c>
      <c r="E75">
        <v>-303846608.06268901</v>
      </c>
      <c r="F75">
        <v>148094357.870435</v>
      </c>
      <c r="G75">
        <v>275198964.23167503</v>
      </c>
      <c r="H75">
        <v>1117121219.2116301</v>
      </c>
      <c r="I75" t="s">
        <v>18</v>
      </c>
      <c r="J75">
        <v>2341266225.4862499</v>
      </c>
      <c r="K75">
        <v>194011341.565992</v>
      </c>
      <c r="L75" t="s">
        <v>18</v>
      </c>
      <c r="M75">
        <v>20.035472848909901</v>
      </c>
      <c r="N75">
        <v>57.834814392479601</v>
      </c>
      <c r="O75" t="s">
        <v>18</v>
      </c>
      <c r="P75">
        <v>23.774570000000001</v>
      </c>
      <c r="Q75">
        <v>20.607859999999999</v>
      </c>
      <c r="R75">
        <v>313451805.96525401</v>
      </c>
      <c r="S75">
        <v>1.9231</v>
      </c>
      <c r="T75">
        <v>1265215577.0820701</v>
      </c>
    </row>
    <row r="76" spans="1:20" x14ac:dyDescent="0.2">
      <c r="A76" t="s">
        <v>94</v>
      </c>
      <c r="B76" t="s">
        <v>28</v>
      </c>
      <c r="C76">
        <v>2012</v>
      </c>
      <c r="D76">
        <v>2411909866.2441201</v>
      </c>
      <c r="E76">
        <v>-268549672.60137397</v>
      </c>
      <c r="F76">
        <v>9120566.7148250006</v>
      </c>
      <c r="G76">
        <v>243375122.337699</v>
      </c>
      <c r="H76">
        <v>1564177191.59249</v>
      </c>
      <c r="I76" t="s">
        <v>18</v>
      </c>
      <c r="J76">
        <v>2678916300.5398798</v>
      </c>
      <c r="K76">
        <v>535552987.07256502</v>
      </c>
      <c r="L76" t="s">
        <v>18</v>
      </c>
      <c r="M76">
        <v>10.159528719266699</v>
      </c>
      <c r="N76">
        <v>54.795727009349797</v>
      </c>
      <c r="O76" t="s">
        <v>18</v>
      </c>
      <c r="P76">
        <v>18.170919999999999</v>
      </c>
      <c r="Q76">
        <v>15.055289999999999</v>
      </c>
      <c r="R76">
        <v>289584188.098418</v>
      </c>
      <c r="S76">
        <v>3.7637999999999998</v>
      </c>
      <c r="T76">
        <v>1573297758.3073101</v>
      </c>
    </row>
    <row r="77" spans="1:20" x14ac:dyDescent="0.2">
      <c r="A77" t="s">
        <v>94</v>
      </c>
      <c r="B77" t="s">
        <v>28</v>
      </c>
      <c r="C77">
        <v>2013</v>
      </c>
      <c r="D77">
        <v>2781647075.6480098</v>
      </c>
      <c r="E77">
        <v>-89047747.640922606</v>
      </c>
      <c r="F77">
        <v>111714217.924758</v>
      </c>
      <c r="G77">
        <v>457818906.31348002</v>
      </c>
      <c r="H77">
        <v>1819574577.0699601</v>
      </c>
      <c r="I77" t="s">
        <v>18</v>
      </c>
      <c r="J77">
        <v>3352325805.0063</v>
      </c>
      <c r="K77">
        <v>201991645.47303799</v>
      </c>
      <c r="L77" t="s">
        <v>18</v>
      </c>
      <c r="M77">
        <v>24.8899539008295</v>
      </c>
      <c r="N77">
        <v>54.3168217119524</v>
      </c>
      <c r="O77" t="s">
        <v>18</v>
      </c>
      <c r="P77">
        <v>16.765930000000001</v>
      </c>
      <c r="Q77">
        <v>13.479039999999999</v>
      </c>
      <c r="R77">
        <v>171190702.90916201</v>
      </c>
      <c r="S77">
        <v>3.2532000000000001</v>
      </c>
      <c r="T77">
        <v>1931288794.99472</v>
      </c>
    </row>
    <row r="78" spans="1:20" x14ac:dyDescent="0.2">
      <c r="A78" t="s">
        <v>94</v>
      </c>
      <c r="B78" t="s">
        <v>28</v>
      </c>
      <c r="C78">
        <v>2014</v>
      </c>
      <c r="D78">
        <v>3043090438.9000201</v>
      </c>
      <c r="E78">
        <v>116647337.90799201</v>
      </c>
      <c r="F78">
        <v>260296011.65543601</v>
      </c>
      <c r="G78">
        <v>321967255.50901502</v>
      </c>
      <c r="H78">
        <v>1698247787.28829</v>
      </c>
      <c r="I78">
        <v>0.51082298211341604</v>
      </c>
      <c r="J78">
        <v>3071431724.7195501</v>
      </c>
      <c r="K78">
        <v>60538486.319850601</v>
      </c>
      <c r="L78">
        <v>15.3746029912891</v>
      </c>
      <c r="M78">
        <v>26.977222442782601</v>
      </c>
      <c r="N78">
        <v>55.532405682679197</v>
      </c>
      <c r="O78">
        <v>-29.887728776311</v>
      </c>
      <c r="P78">
        <v>11.15368</v>
      </c>
      <c r="Q78">
        <v>8.0112500000000004</v>
      </c>
      <c r="R78">
        <v>177110451.92373899</v>
      </c>
      <c r="S78">
        <v>2.5362</v>
      </c>
      <c r="T78">
        <v>1958543798.9437301</v>
      </c>
    </row>
    <row r="79" spans="1:20" x14ac:dyDescent="0.2">
      <c r="A79" t="s">
        <v>94</v>
      </c>
      <c r="B79" t="s">
        <v>28</v>
      </c>
      <c r="C79">
        <v>2015</v>
      </c>
      <c r="D79">
        <v>3829567415.20541</v>
      </c>
      <c r="E79">
        <v>217063724.99397799</v>
      </c>
      <c r="F79">
        <v>411432615.940449</v>
      </c>
      <c r="G79">
        <v>232879099.573302</v>
      </c>
      <c r="H79">
        <v>2024464742.89096</v>
      </c>
      <c r="I79">
        <v>0.98364109201299998</v>
      </c>
      <c r="J79">
        <v>1458769570.79267</v>
      </c>
      <c r="K79">
        <v>159713208.024957</v>
      </c>
      <c r="L79">
        <v>8.0039954594360108</v>
      </c>
      <c r="M79">
        <v>16.535832107029499</v>
      </c>
      <c r="N79">
        <v>46.114039968686697</v>
      </c>
      <c r="O79">
        <v>-20.0638235917915</v>
      </c>
      <c r="P79">
        <v>8.1782500000000002</v>
      </c>
      <c r="Q79">
        <v>5.3012499999999996</v>
      </c>
      <c r="R79">
        <v>99935466.503582805</v>
      </c>
      <c r="S79">
        <v>8.0498999999999992</v>
      </c>
      <c r="T79">
        <v>2435897358.8314099</v>
      </c>
    </row>
    <row r="80" spans="1:20" x14ac:dyDescent="0.2">
      <c r="A80" t="s">
        <v>94</v>
      </c>
      <c r="B80" t="s">
        <v>28</v>
      </c>
      <c r="C80">
        <v>2016</v>
      </c>
      <c r="D80">
        <v>4393023125.3316097</v>
      </c>
      <c r="E80">
        <v>129351252.290843</v>
      </c>
      <c r="F80">
        <v>434810357.83764702</v>
      </c>
      <c r="G80">
        <v>181578108.23557201</v>
      </c>
      <c r="H80">
        <v>2174594623.5925298</v>
      </c>
      <c r="I80">
        <v>0.57231307274161802</v>
      </c>
      <c r="J80">
        <v>1349833850.3524599</v>
      </c>
      <c r="K80">
        <v>77542743.092369705</v>
      </c>
      <c r="L80">
        <v>-3.7803422942199698</v>
      </c>
      <c r="M80">
        <v>23.515513386248099</v>
      </c>
      <c r="N80">
        <v>59.922959776562898</v>
      </c>
      <c r="O80">
        <v>-54.6086482023318</v>
      </c>
      <c r="P80">
        <v>5.5138699999999998</v>
      </c>
      <c r="Q80">
        <v>2.2381700000000002</v>
      </c>
      <c r="R80">
        <v>49999972.928012803</v>
      </c>
      <c r="S80">
        <v>9.9184000000000001</v>
      </c>
      <c r="T80">
        <v>2609404981.4301701</v>
      </c>
    </row>
    <row r="81" spans="1:20" x14ac:dyDescent="0.2">
      <c r="A81" t="s">
        <v>94</v>
      </c>
      <c r="B81" t="s">
        <v>28</v>
      </c>
      <c r="C81">
        <v>2017</v>
      </c>
      <c r="D81">
        <v>4305064738.9716797</v>
      </c>
      <c r="E81">
        <v>521450381.24958301</v>
      </c>
      <c r="F81">
        <v>377715484.06197602</v>
      </c>
      <c r="G81">
        <v>268003157.99861801</v>
      </c>
      <c r="H81">
        <v>2399825125.82651</v>
      </c>
      <c r="I81">
        <v>1.9886078573692201</v>
      </c>
      <c r="J81">
        <v>1240485418.5271101</v>
      </c>
      <c r="K81">
        <v>237379697.40884799</v>
      </c>
      <c r="L81">
        <v>4.3484186803976401</v>
      </c>
      <c r="M81">
        <v>16.302315244977699</v>
      </c>
      <c r="N81">
        <v>49.250121286585298</v>
      </c>
      <c r="O81">
        <v>442.67873374951603</v>
      </c>
      <c r="P81">
        <v>4.7460800000000001</v>
      </c>
      <c r="Q81">
        <v>1.0339700000000001</v>
      </c>
      <c r="R81">
        <v>53155633.901304401</v>
      </c>
      <c r="S81">
        <v>39.416200000000003</v>
      </c>
      <c r="T81">
        <v>2777540609.8884802</v>
      </c>
    </row>
    <row r="82" spans="1:20" x14ac:dyDescent="0.2">
      <c r="A82" t="s">
        <v>94</v>
      </c>
      <c r="B82" t="s">
        <v>28</v>
      </c>
      <c r="C82">
        <v>2018</v>
      </c>
      <c r="D82">
        <v>4004725156.73981</v>
      </c>
      <c r="E82">
        <v>544361025.74891603</v>
      </c>
      <c r="F82">
        <v>664225241.86574399</v>
      </c>
      <c r="G82">
        <v>250393880.39130899</v>
      </c>
      <c r="H82">
        <v>1980060289.42817</v>
      </c>
      <c r="I82">
        <v>1.8837987150867099</v>
      </c>
      <c r="J82">
        <v>1741132290.6011</v>
      </c>
      <c r="K82">
        <v>-191652541.55204001</v>
      </c>
      <c r="L82">
        <v>11.8026013490939</v>
      </c>
      <c r="M82">
        <v>-3.2423889830016801</v>
      </c>
      <c r="N82">
        <v>52.246933354227401</v>
      </c>
      <c r="O82">
        <v>-34.382063660752102</v>
      </c>
      <c r="P82">
        <v>6.70791</v>
      </c>
      <c r="Q82">
        <v>2.1952699999999998</v>
      </c>
      <c r="R82">
        <v>94165460.917532995</v>
      </c>
      <c r="S82">
        <v>35.303400000000003</v>
      </c>
      <c r="T82">
        <v>2644285531.29391</v>
      </c>
    </row>
    <row r="83" spans="1:20" x14ac:dyDescent="0.2">
      <c r="A83" t="s">
        <v>94</v>
      </c>
      <c r="B83" t="s">
        <v>28</v>
      </c>
      <c r="C83">
        <v>2019</v>
      </c>
      <c r="D83">
        <v>5109299035.5666704</v>
      </c>
      <c r="E83">
        <v>988879727.32676101</v>
      </c>
      <c r="F83">
        <v>676397601.67372596</v>
      </c>
      <c r="G83">
        <v>321458488.54416502</v>
      </c>
      <c r="H83">
        <v>2031639893.86131</v>
      </c>
      <c r="I83">
        <v>2.2236086286160499</v>
      </c>
      <c r="J83">
        <v>1299095998.6684799</v>
      </c>
      <c r="K83">
        <v>22834033.279371198</v>
      </c>
      <c r="L83">
        <v>20.819304643045601</v>
      </c>
      <c r="M83">
        <v>-15.1613707819818</v>
      </c>
      <c r="N83">
        <v>62.1120895554103</v>
      </c>
      <c r="O83" t="s">
        <v>18</v>
      </c>
      <c r="P83">
        <v>6.7283400000000002</v>
      </c>
      <c r="Q83">
        <v>2.6266699999999998</v>
      </c>
      <c r="R83">
        <v>213981587.29885101</v>
      </c>
      <c r="S83">
        <v>40.834000000000003</v>
      </c>
      <c r="T83">
        <v>2708037495.5350299</v>
      </c>
    </row>
    <row r="84" spans="1:20" x14ac:dyDescent="0.2">
      <c r="A84" t="s">
        <v>94</v>
      </c>
      <c r="B84" t="s">
        <v>28</v>
      </c>
      <c r="C84">
        <v>2020</v>
      </c>
      <c r="D84">
        <v>5538767658.4460402</v>
      </c>
      <c r="E84">
        <v>885208745.11060297</v>
      </c>
      <c r="F84">
        <v>1511250413.6833701</v>
      </c>
      <c r="G84">
        <v>477965322.19570398</v>
      </c>
      <c r="H84">
        <v>2029194028.1092501</v>
      </c>
      <c r="I84">
        <v>2.00228043920358</v>
      </c>
      <c r="J84">
        <v>1458743871.08356</v>
      </c>
      <c r="K84">
        <v>-11065894.8771045</v>
      </c>
      <c r="L84">
        <v>2.6894259499382702</v>
      </c>
      <c r="M84">
        <v>-3.04889891182787</v>
      </c>
      <c r="N84">
        <v>67.6869192879347</v>
      </c>
      <c r="O84">
        <v>32.866426666870602</v>
      </c>
      <c r="P84">
        <v>9.0776500000000002</v>
      </c>
      <c r="Q84">
        <v>4.4131799999999997</v>
      </c>
      <c r="R84">
        <v>224528689.390205</v>
      </c>
      <c r="S84">
        <v>44.595199999999998</v>
      </c>
      <c r="T84">
        <v>3540444441.7926302</v>
      </c>
    </row>
    <row r="85" spans="1:20" x14ac:dyDescent="0.2">
      <c r="A85" t="s">
        <v>94</v>
      </c>
      <c r="B85" t="s">
        <v>28</v>
      </c>
      <c r="C85">
        <v>2021</v>
      </c>
      <c r="D85">
        <v>4694130905.0138798</v>
      </c>
      <c r="E85">
        <v>1217754154.7637999</v>
      </c>
      <c r="F85">
        <v>1226906928.0938499</v>
      </c>
      <c r="G85">
        <v>324443496.451864</v>
      </c>
      <c r="H85">
        <v>1499515594.0221801</v>
      </c>
      <c r="I85">
        <v>2.7239409613644701</v>
      </c>
      <c r="J85">
        <v>2814348000.9509602</v>
      </c>
      <c r="K85">
        <v>-218939812.31159401</v>
      </c>
      <c r="L85">
        <v>11.267562386244199</v>
      </c>
      <c r="M85">
        <v>-0.53044410217933902</v>
      </c>
      <c r="N85">
        <v>65.566297274978098</v>
      </c>
      <c r="O85">
        <v>26.8492152769374</v>
      </c>
      <c r="P85">
        <v>9.4002400000000002</v>
      </c>
      <c r="Q85">
        <v>4.9043700000000001</v>
      </c>
      <c r="R85">
        <v>213395575.75878301</v>
      </c>
      <c r="S85">
        <v>43.399900000000002</v>
      </c>
      <c r="T85">
        <v>2726422522.1160302</v>
      </c>
    </row>
    <row r="86" spans="1:20" x14ac:dyDescent="0.2">
      <c r="A86" t="s">
        <v>94</v>
      </c>
      <c r="B86" t="s">
        <v>28</v>
      </c>
      <c r="C86">
        <v>2022</v>
      </c>
      <c r="D86">
        <v>6931599410.1332598</v>
      </c>
      <c r="E86">
        <v>946151787.95767295</v>
      </c>
      <c r="F86">
        <v>1769554831.90151</v>
      </c>
      <c r="G86">
        <v>377736702.96962702</v>
      </c>
      <c r="H86">
        <v>1529631330.5824299</v>
      </c>
      <c r="I86">
        <v>1.19469424927012</v>
      </c>
      <c r="J86">
        <v>2878905573.0483198</v>
      </c>
      <c r="K86">
        <v>64088668.516208597</v>
      </c>
      <c r="L86">
        <v>17.294075046823501</v>
      </c>
      <c r="M86">
        <v>17.607902252467401</v>
      </c>
      <c r="N86">
        <v>64.728770818815505</v>
      </c>
      <c r="O86" t="s">
        <v>18</v>
      </c>
      <c r="P86">
        <v>7.2073299999999998</v>
      </c>
      <c r="Q86">
        <v>3.35337</v>
      </c>
      <c r="R86">
        <v>519706894.44886303</v>
      </c>
      <c r="S86">
        <v>50.994100000000003</v>
      </c>
      <c r="T86">
        <v>3324773242.23771</v>
      </c>
    </row>
    <row r="87" spans="1:20" x14ac:dyDescent="0.2">
      <c r="A87" t="s">
        <v>94</v>
      </c>
      <c r="B87" t="s">
        <v>28</v>
      </c>
      <c r="C87">
        <v>2023</v>
      </c>
      <c r="D87">
        <v>7227880433.0732498</v>
      </c>
      <c r="E87">
        <v>1222237571.3808401</v>
      </c>
      <c r="F87">
        <v>1801770519.5669301</v>
      </c>
      <c r="G87">
        <v>115408262.26335201</v>
      </c>
      <c r="H87">
        <v>1481656710.82078</v>
      </c>
      <c r="I87">
        <v>0.97155539274744396</v>
      </c>
      <c r="J87">
        <v>1984229458.6833401</v>
      </c>
      <c r="K87">
        <v>96786263.915711403</v>
      </c>
      <c r="L87">
        <v>-2.5183009753638199</v>
      </c>
      <c r="M87">
        <v>0</v>
      </c>
      <c r="N87">
        <v>62.2699405058816</v>
      </c>
      <c r="O87">
        <v>138.12638786878901</v>
      </c>
      <c r="P87">
        <v>9.6406500000000008</v>
      </c>
      <c r="Q87">
        <v>6.6097200000000003</v>
      </c>
      <c r="R87">
        <v>977741482.78898597</v>
      </c>
      <c r="S87">
        <v>48.5505</v>
      </c>
      <c r="T87">
        <v>3298573858.3439202</v>
      </c>
    </row>
    <row r="88" spans="1:20" x14ac:dyDescent="0.2">
      <c r="A88" t="s">
        <v>94</v>
      </c>
      <c r="B88" t="s">
        <v>28</v>
      </c>
      <c r="C88">
        <v>2024</v>
      </c>
      <c r="D88">
        <v>6964747638.1410599</v>
      </c>
      <c r="E88">
        <v>1174114696.41395</v>
      </c>
      <c r="F88">
        <v>1800587496.34042</v>
      </c>
      <c r="G88">
        <v>89389232.570868507</v>
      </c>
      <c r="H88">
        <v>2273370030.9313798</v>
      </c>
      <c r="I88">
        <v>0.946122950381863</v>
      </c>
      <c r="J88">
        <v>2998395654.6544099</v>
      </c>
      <c r="K88">
        <v>648546656.324193</v>
      </c>
      <c r="L88">
        <v>-4.5031064930938696</v>
      </c>
      <c r="M88">
        <v>27.174109924504499</v>
      </c>
      <c r="N88">
        <v>60.870803231238298</v>
      </c>
      <c r="O88">
        <v>13.3594785706923</v>
      </c>
      <c r="P88">
        <v>13.991379999999999</v>
      </c>
      <c r="Q88">
        <v>10.97137</v>
      </c>
      <c r="R88">
        <v>949022564.41329002</v>
      </c>
      <c r="S88">
        <v>36.558599999999998</v>
      </c>
      <c r="T88">
        <v>4087798440.7021298</v>
      </c>
    </row>
    <row r="89" spans="1:20" x14ac:dyDescent="0.2">
      <c r="A89" t="s">
        <v>94</v>
      </c>
      <c r="B89" t="s">
        <v>28</v>
      </c>
      <c r="C89">
        <v>2025</v>
      </c>
      <c r="D89">
        <v>6511758713.8746405</v>
      </c>
      <c r="E89">
        <v>969156974.47140598</v>
      </c>
      <c r="F89">
        <v>1562744751.6577001</v>
      </c>
      <c r="G89">
        <v>88819779.807331398</v>
      </c>
      <c r="H89">
        <v>2510276579.5070701</v>
      </c>
      <c r="I89">
        <v>1.0188535762884601</v>
      </c>
      <c r="J89">
        <v>2861111055.0581698</v>
      </c>
      <c r="K89">
        <v>620821995.349576</v>
      </c>
      <c r="L89">
        <v>-0.131501393828483</v>
      </c>
      <c r="M89">
        <v>17.720521635988199</v>
      </c>
      <c r="N89">
        <v>60.866932325022702</v>
      </c>
      <c r="O89">
        <v>-49.829654781895002</v>
      </c>
      <c r="P89">
        <v>17.827069999999999</v>
      </c>
      <c r="Q89">
        <v>13.837730000000001</v>
      </c>
      <c r="R89">
        <v>734294045.42067504</v>
      </c>
      <c r="S89">
        <v>35.6389</v>
      </c>
      <c r="T89">
        <v>4084863968.4724102</v>
      </c>
    </row>
    <row r="90" spans="1:20" x14ac:dyDescent="0.2">
      <c r="A90" t="s">
        <v>95</v>
      </c>
      <c r="B90" t="s">
        <v>29</v>
      </c>
      <c r="C90">
        <v>2004</v>
      </c>
      <c r="D90">
        <v>18650666000</v>
      </c>
      <c r="E90">
        <v>7698068560</v>
      </c>
      <c r="F90">
        <v>7492709000</v>
      </c>
      <c r="G90">
        <v>143543000</v>
      </c>
      <c r="H90">
        <v>5298007000</v>
      </c>
      <c r="I90" t="s">
        <v>18</v>
      </c>
      <c r="J90">
        <v>4817342999.0187798</v>
      </c>
      <c r="K90">
        <v>336745000</v>
      </c>
      <c r="L90" t="s">
        <v>18</v>
      </c>
      <c r="M90">
        <v>6.6271849091657602</v>
      </c>
      <c r="N90" t="s">
        <v>18</v>
      </c>
      <c r="O90" t="s">
        <v>18</v>
      </c>
      <c r="P90">
        <v>25.034790000000001</v>
      </c>
      <c r="Q90">
        <v>12.94731</v>
      </c>
      <c r="R90">
        <v>1017257890</v>
      </c>
      <c r="S90" t="s">
        <v>18</v>
      </c>
      <c r="T90">
        <v>13027201000</v>
      </c>
    </row>
    <row r="91" spans="1:20" x14ac:dyDescent="0.2">
      <c r="A91" t="s">
        <v>95</v>
      </c>
      <c r="B91" t="s">
        <v>29</v>
      </c>
      <c r="C91">
        <v>2005</v>
      </c>
      <c r="D91">
        <v>20900976000</v>
      </c>
      <c r="E91">
        <v>8924120000</v>
      </c>
      <c r="F91">
        <v>9024667000</v>
      </c>
      <c r="G91">
        <v>230700000</v>
      </c>
      <c r="H91">
        <v>4037858000</v>
      </c>
      <c r="I91" t="s">
        <v>18</v>
      </c>
      <c r="J91">
        <v>7369920170.12292</v>
      </c>
      <c r="K91">
        <v>583605000</v>
      </c>
      <c r="L91" t="s">
        <v>18</v>
      </c>
      <c r="M91">
        <v>17.318215892049501</v>
      </c>
      <c r="N91" t="s">
        <v>18</v>
      </c>
      <c r="O91" t="s">
        <v>18</v>
      </c>
      <c r="P91">
        <v>15.84802</v>
      </c>
      <c r="Q91">
        <v>4.7270200000000004</v>
      </c>
      <c r="R91">
        <v>1287493330</v>
      </c>
      <c r="S91" t="s">
        <v>18</v>
      </c>
      <c r="T91">
        <v>13806462000</v>
      </c>
    </row>
    <row r="92" spans="1:20" x14ac:dyDescent="0.2">
      <c r="A92" t="s">
        <v>95</v>
      </c>
      <c r="B92" t="s">
        <v>29</v>
      </c>
      <c r="C92">
        <v>2006</v>
      </c>
      <c r="D92">
        <v>24035570000</v>
      </c>
      <c r="E92">
        <v>9632664750</v>
      </c>
      <c r="F92">
        <v>10419773000</v>
      </c>
      <c r="G92">
        <v>585499000</v>
      </c>
      <c r="H92">
        <v>4823400000</v>
      </c>
      <c r="I92" t="s">
        <v>18</v>
      </c>
      <c r="J92">
        <v>11084478877.4618</v>
      </c>
      <c r="K92">
        <v>1900040000</v>
      </c>
      <c r="L92" t="s">
        <v>18</v>
      </c>
      <c r="M92">
        <v>16.501749755458199</v>
      </c>
      <c r="N92">
        <v>35.100937379808599</v>
      </c>
      <c r="O92" t="s">
        <v>18</v>
      </c>
      <c r="P92">
        <v>21.979130000000001</v>
      </c>
      <c r="Q92">
        <v>12.31316</v>
      </c>
      <c r="R92">
        <v>1426259530</v>
      </c>
      <c r="S92" t="s">
        <v>18</v>
      </c>
      <c r="T92">
        <v>16530936000</v>
      </c>
    </row>
    <row r="93" spans="1:20" x14ac:dyDescent="0.2">
      <c r="A93" t="s">
        <v>95</v>
      </c>
      <c r="B93" t="s">
        <v>29</v>
      </c>
      <c r="C93">
        <v>2007</v>
      </c>
      <c r="D93">
        <v>25468911000</v>
      </c>
      <c r="E93">
        <v>10854792620</v>
      </c>
      <c r="F93">
        <v>10018381000</v>
      </c>
      <c r="G93">
        <v>753493000</v>
      </c>
      <c r="H93">
        <v>5589235000</v>
      </c>
      <c r="I93" t="s">
        <v>18</v>
      </c>
      <c r="J93">
        <v>14273587748.686701</v>
      </c>
      <c r="K93">
        <v>1461499000</v>
      </c>
      <c r="L93" t="s">
        <v>18</v>
      </c>
      <c r="M93">
        <v>13.607679409953599</v>
      </c>
      <c r="N93">
        <v>41.829736696054901</v>
      </c>
      <c r="O93" t="s">
        <v>18</v>
      </c>
      <c r="P93">
        <v>23.00282</v>
      </c>
      <c r="Q93">
        <v>12.676</v>
      </c>
      <c r="R93">
        <v>1736516710</v>
      </c>
      <c r="S93" t="s">
        <v>18</v>
      </c>
      <c r="T93">
        <v>16553277000</v>
      </c>
    </row>
    <row r="94" spans="1:20" x14ac:dyDescent="0.2">
      <c r="A94" t="s">
        <v>95</v>
      </c>
      <c r="B94" t="s">
        <v>29</v>
      </c>
      <c r="C94">
        <v>2008</v>
      </c>
      <c r="D94">
        <v>31526717000</v>
      </c>
      <c r="E94">
        <v>12360471080</v>
      </c>
      <c r="F94">
        <v>12505439000</v>
      </c>
      <c r="G94">
        <v>864711000</v>
      </c>
      <c r="H94">
        <v>6264146000</v>
      </c>
      <c r="I94" t="s">
        <v>18</v>
      </c>
      <c r="J94">
        <v>8016121512.6850405</v>
      </c>
      <c r="K94">
        <v>2111569000</v>
      </c>
      <c r="L94" t="s">
        <v>18</v>
      </c>
      <c r="M94">
        <v>51.7059088714729</v>
      </c>
      <c r="N94">
        <v>66.257359059704598</v>
      </c>
      <c r="O94" t="s">
        <v>18</v>
      </c>
      <c r="P94">
        <v>25.129270000000002</v>
      </c>
      <c r="Q94">
        <v>14.170920000000001</v>
      </c>
      <c r="R94">
        <v>1880077460</v>
      </c>
      <c r="S94" t="s">
        <v>18</v>
      </c>
      <c r="T94">
        <v>19784197000</v>
      </c>
    </row>
    <row r="95" spans="1:20" x14ac:dyDescent="0.2">
      <c r="A95" t="s">
        <v>95</v>
      </c>
      <c r="B95" t="s">
        <v>29</v>
      </c>
      <c r="C95">
        <v>2009</v>
      </c>
      <c r="D95">
        <v>35744969000</v>
      </c>
      <c r="E95">
        <v>14468131000</v>
      </c>
      <c r="F95">
        <v>14549170000</v>
      </c>
      <c r="G95">
        <v>713587000</v>
      </c>
      <c r="H95">
        <v>6366820000</v>
      </c>
      <c r="I95" t="s">
        <v>18</v>
      </c>
      <c r="J95">
        <v>10783323394.001801</v>
      </c>
      <c r="K95">
        <v>1220120000</v>
      </c>
      <c r="L95" t="s">
        <v>18</v>
      </c>
      <c r="M95">
        <v>34.216475984246102</v>
      </c>
      <c r="N95">
        <v>83.599558956325396</v>
      </c>
      <c r="O95" t="s">
        <v>18</v>
      </c>
      <c r="P95">
        <v>23.293849999999999</v>
      </c>
      <c r="Q95">
        <v>13.890779999999999</v>
      </c>
      <c r="R95">
        <v>1962921360</v>
      </c>
      <c r="S95">
        <v>10.398199999999999</v>
      </c>
      <c r="T95">
        <v>23116595000</v>
      </c>
    </row>
    <row r="96" spans="1:20" x14ac:dyDescent="0.2">
      <c r="A96" t="s">
        <v>95</v>
      </c>
      <c r="B96" t="s">
        <v>29</v>
      </c>
      <c r="C96">
        <v>2010</v>
      </c>
      <c r="D96">
        <v>38633904000</v>
      </c>
      <c r="E96">
        <v>15866174120</v>
      </c>
      <c r="F96">
        <v>16288158000</v>
      </c>
      <c r="G96">
        <v>947237000</v>
      </c>
      <c r="H96">
        <v>7293572000</v>
      </c>
      <c r="I96" t="s">
        <v>18</v>
      </c>
      <c r="J96">
        <v>8695889479.8283997</v>
      </c>
      <c r="K96">
        <v>1167947000</v>
      </c>
      <c r="L96" t="s">
        <v>18</v>
      </c>
      <c r="M96">
        <v>24.019260981409001</v>
      </c>
      <c r="N96">
        <v>85.211270879006094</v>
      </c>
      <c r="O96" t="s">
        <v>18</v>
      </c>
      <c r="P96">
        <v>27.216930000000001</v>
      </c>
      <c r="Q96">
        <v>16.280280000000001</v>
      </c>
      <c r="R96">
        <v>2097515630</v>
      </c>
      <c r="S96">
        <v>12.201599999999999</v>
      </c>
      <c r="T96">
        <v>26266171000</v>
      </c>
    </row>
    <row r="97" spans="1:20" x14ac:dyDescent="0.2">
      <c r="A97" t="s">
        <v>95</v>
      </c>
      <c r="B97" t="s">
        <v>29</v>
      </c>
      <c r="C97">
        <v>2011</v>
      </c>
      <c r="D97">
        <v>40488853000</v>
      </c>
      <c r="E97">
        <v>16414025780</v>
      </c>
      <c r="F97">
        <v>17899218000</v>
      </c>
      <c r="G97">
        <v>1588163000</v>
      </c>
      <c r="H97">
        <v>7854558000</v>
      </c>
      <c r="I97" t="s">
        <v>18</v>
      </c>
      <c r="J97">
        <v>8258821801.7026701</v>
      </c>
      <c r="K97">
        <v>1230394000</v>
      </c>
      <c r="L97" t="s">
        <v>18</v>
      </c>
      <c r="M97">
        <v>14.642841082297499</v>
      </c>
      <c r="N97">
        <v>82.439272208756705</v>
      </c>
      <c r="O97" t="s">
        <v>18</v>
      </c>
      <c r="P97">
        <v>25.731069999999999</v>
      </c>
      <c r="Q97">
        <v>15.36463</v>
      </c>
      <c r="R97">
        <v>2219025680</v>
      </c>
      <c r="S97">
        <v>12.3375</v>
      </c>
      <c r="T97">
        <v>28684177000</v>
      </c>
    </row>
    <row r="98" spans="1:20" x14ac:dyDescent="0.2">
      <c r="A98" t="s">
        <v>95</v>
      </c>
      <c r="B98" t="s">
        <v>29</v>
      </c>
      <c r="C98">
        <v>2012</v>
      </c>
      <c r="D98">
        <v>41267629000</v>
      </c>
      <c r="E98">
        <v>17816236600</v>
      </c>
      <c r="F98">
        <v>18500372000</v>
      </c>
      <c r="G98">
        <v>1731524000</v>
      </c>
      <c r="H98">
        <v>8109534000</v>
      </c>
      <c r="I98" t="s">
        <v>18</v>
      </c>
      <c r="J98">
        <v>5713888700.12988</v>
      </c>
      <c r="K98">
        <v>1331979000</v>
      </c>
      <c r="L98" t="s">
        <v>18</v>
      </c>
      <c r="M98">
        <v>7.7859597054482199</v>
      </c>
      <c r="N98">
        <v>80.677254670701899</v>
      </c>
      <c r="O98" t="s">
        <v>18</v>
      </c>
      <c r="P98">
        <v>25.156790000000001</v>
      </c>
      <c r="Q98">
        <v>15.35793</v>
      </c>
      <c r="R98">
        <v>2263129590</v>
      </c>
      <c r="S98">
        <v>12.327299999999999</v>
      </c>
      <c r="T98">
        <v>29887151000</v>
      </c>
    </row>
    <row r="99" spans="1:20" x14ac:dyDescent="0.2">
      <c r="A99" t="s">
        <v>95</v>
      </c>
      <c r="B99" t="s">
        <v>29</v>
      </c>
      <c r="C99">
        <v>2013</v>
      </c>
      <c r="D99">
        <v>42627844000</v>
      </c>
      <c r="E99">
        <v>17904672470</v>
      </c>
      <c r="F99">
        <v>20220331000</v>
      </c>
      <c r="G99">
        <v>1695336000</v>
      </c>
      <c r="H99">
        <v>8192354000</v>
      </c>
      <c r="I99" t="s">
        <v>18</v>
      </c>
      <c r="J99">
        <v>8599355364.4550991</v>
      </c>
      <c r="K99">
        <v>1182155000</v>
      </c>
      <c r="L99">
        <v>-0.41206522944524498</v>
      </c>
      <c r="M99">
        <v>-23.001429019712901</v>
      </c>
      <c r="N99">
        <v>79.468522727043293</v>
      </c>
      <c r="O99" t="s">
        <v>18</v>
      </c>
      <c r="P99">
        <v>22.527180000000001</v>
      </c>
      <c r="Q99">
        <v>13.38457</v>
      </c>
      <c r="R99">
        <v>2189947950</v>
      </c>
      <c r="S99">
        <v>12.588699999999999</v>
      </c>
      <c r="T99">
        <v>31651999000</v>
      </c>
    </row>
    <row r="100" spans="1:20" x14ac:dyDescent="0.2">
      <c r="A100" t="s">
        <v>95</v>
      </c>
      <c r="B100" t="s">
        <v>29</v>
      </c>
      <c r="C100">
        <v>2014</v>
      </c>
      <c r="D100">
        <v>42065537000</v>
      </c>
      <c r="E100">
        <v>17098587060</v>
      </c>
      <c r="F100">
        <v>19405242000</v>
      </c>
      <c r="G100">
        <v>2156645000</v>
      </c>
      <c r="H100">
        <v>8445756000</v>
      </c>
      <c r="I100">
        <v>4.8610920215512596</v>
      </c>
      <c r="J100">
        <v>10214245365.5193</v>
      </c>
      <c r="K100">
        <v>1193644000</v>
      </c>
      <c r="L100">
        <v>0.93593081310844295</v>
      </c>
      <c r="M100">
        <v>-10.4503780334182</v>
      </c>
      <c r="N100">
        <v>78.5401460573934</v>
      </c>
      <c r="O100">
        <v>-15.632158240647099</v>
      </c>
      <c r="P100">
        <v>21.49991</v>
      </c>
      <c r="Q100">
        <v>12.897259999999999</v>
      </c>
      <c r="R100">
        <v>2128479670</v>
      </c>
      <c r="S100">
        <v>13.0031</v>
      </c>
      <c r="T100">
        <v>30933144000</v>
      </c>
    </row>
    <row r="101" spans="1:20" x14ac:dyDescent="0.2">
      <c r="A101" t="s">
        <v>95</v>
      </c>
      <c r="B101" t="s">
        <v>29</v>
      </c>
      <c r="C101">
        <v>2015</v>
      </c>
      <c r="D101">
        <v>42873017000</v>
      </c>
      <c r="E101">
        <v>17069540940</v>
      </c>
      <c r="F101">
        <v>20035397000</v>
      </c>
      <c r="G101">
        <v>2535140000</v>
      </c>
      <c r="H101">
        <v>9292026000</v>
      </c>
      <c r="I101">
        <v>4.5337408677699296</v>
      </c>
      <c r="J101">
        <v>9646101541.5193806</v>
      </c>
      <c r="K101">
        <v>1325305000</v>
      </c>
      <c r="L101">
        <v>-4.9854427541847997E-2</v>
      </c>
      <c r="M101">
        <v>-12.448547549080899</v>
      </c>
      <c r="N101">
        <v>79.473594196456901</v>
      </c>
      <c r="O101">
        <v>-2.61331784188034</v>
      </c>
      <c r="P101">
        <v>21.49</v>
      </c>
      <c r="Q101">
        <v>12.91751</v>
      </c>
      <c r="R101">
        <v>2302603700</v>
      </c>
      <c r="S101">
        <v>12.6408</v>
      </c>
      <c r="T101">
        <v>32615102000</v>
      </c>
    </row>
    <row r="102" spans="1:20" x14ac:dyDescent="0.2">
      <c r="A102" t="s">
        <v>95</v>
      </c>
      <c r="B102" t="s">
        <v>29</v>
      </c>
      <c r="C102">
        <v>2016</v>
      </c>
      <c r="D102">
        <v>42536965000</v>
      </c>
      <c r="E102">
        <v>16410665410</v>
      </c>
      <c r="F102">
        <v>19093599000</v>
      </c>
      <c r="G102">
        <v>1207401000</v>
      </c>
      <c r="H102">
        <v>9282213000</v>
      </c>
      <c r="I102">
        <v>4.2919773423442598</v>
      </c>
      <c r="J102">
        <v>8333811289.4568195</v>
      </c>
      <c r="K102">
        <v>1309196000</v>
      </c>
      <c r="L102">
        <v>4.7464953892293904</v>
      </c>
      <c r="M102">
        <v>-7.2889494715820504</v>
      </c>
      <c r="N102">
        <v>78.041158353436501</v>
      </c>
      <c r="O102">
        <v>4.1715425055928401</v>
      </c>
      <c r="P102">
        <v>22.527670000000001</v>
      </c>
      <c r="Q102">
        <v>13.23634</v>
      </c>
      <c r="R102">
        <v>2259024530</v>
      </c>
      <c r="S102">
        <v>13.2956</v>
      </c>
      <c r="T102">
        <v>31827530000</v>
      </c>
    </row>
    <row r="103" spans="1:20" x14ac:dyDescent="0.2">
      <c r="A103" t="s">
        <v>95</v>
      </c>
      <c r="B103" t="s">
        <v>29</v>
      </c>
      <c r="C103">
        <v>2017</v>
      </c>
      <c r="D103">
        <v>44083746000</v>
      </c>
      <c r="E103">
        <v>14547117170</v>
      </c>
      <c r="F103">
        <v>18378832000</v>
      </c>
      <c r="G103">
        <v>1400332000</v>
      </c>
      <c r="H103">
        <v>10001488000</v>
      </c>
      <c r="I103">
        <v>4.1826525413714499</v>
      </c>
      <c r="J103">
        <v>10651494170.577</v>
      </c>
      <c r="K103">
        <v>1261741000</v>
      </c>
      <c r="L103">
        <v>-2.7040987213974099</v>
      </c>
      <c r="M103">
        <v>-0.70940990212967603</v>
      </c>
      <c r="N103">
        <v>83.303043246918605</v>
      </c>
      <c r="O103">
        <v>-26.467628309572302</v>
      </c>
      <c r="P103">
        <v>25.616800000000001</v>
      </c>
      <c r="Q103">
        <v>15.1244</v>
      </c>
      <c r="R103">
        <v>2149036540</v>
      </c>
      <c r="S103">
        <v>38.183999999999997</v>
      </c>
      <c r="T103">
        <v>32710405000</v>
      </c>
    </row>
    <row r="104" spans="1:20" x14ac:dyDescent="0.2">
      <c r="A104" t="s">
        <v>95</v>
      </c>
      <c r="B104" t="s">
        <v>29</v>
      </c>
      <c r="C104">
        <v>2018</v>
      </c>
      <c r="D104">
        <v>42075049000</v>
      </c>
      <c r="E104">
        <v>14800776530</v>
      </c>
      <c r="F104">
        <v>17373786000</v>
      </c>
      <c r="G104">
        <v>2298603000</v>
      </c>
      <c r="H104">
        <v>10036946000</v>
      </c>
      <c r="I104">
        <v>4.3966464926278501</v>
      </c>
      <c r="J104">
        <v>11287732946.713301</v>
      </c>
      <c r="K104">
        <v>1510681000</v>
      </c>
      <c r="L104">
        <v>5.4611285021990996</v>
      </c>
      <c r="M104">
        <v>1.0254996616158001</v>
      </c>
      <c r="N104">
        <v>76.371571209234602</v>
      </c>
      <c r="O104">
        <v>-5.2664788405797101</v>
      </c>
      <c r="P104">
        <v>21.741219999999998</v>
      </c>
      <c r="Q104">
        <v>10.92629</v>
      </c>
      <c r="R104">
        <v>1895707130</v>
      </c>
      <c r="S104">
        <v>31.5977</v>
      </c>
      <c r="T104">
        <v>31345054000</v>
      </c>
    </row>
    <row r="105" spans="1:20" x14ac:dyDescent="0.2">
      <c r="A105" t="s">
        <v>95</v>
      </c>
      <c r="B105" t="s">
        <v>29</v>
      </c>
      <c r="C105">
        <v>2019</v>
      </c>
      <c r="D105">
        <v>41626960000</v>
      </c>
      <c r="E105">
        <v>14052149380</v>
      </c>
      <c r="F105">
        <v>16493442000</v>
      </c>
      <c r="G105">
        <v>1720282000</v>
      </c>
      <c r="H105">
        <v>9551781000</v>
      </c>
      <c r="I105">
        <v>3.9197184000452898</v>
      </c>
      <c r="J105">
        <v>13419494630.9238</v>
      </c>
      <c r="K105">
        <v>941426000</v>
      </c>
      <c r="L105">
        <v>0.79516697191978802</v>
      </c>
      <c r="M105">
        <v>-7.4399865086808497</v>
      </c>
      <c r="N105">
        <v>79.239475331008506</v>
      </c>
      <c r="O105">
        <v>-17.7244884293452</v>
      </c>
      <c r="P105">
        <v>18.767720000000001</v>
      </c>
      <c r="Q105">
        <v>9.2996099999999995</v>
      </c>
      <c r="R105">
        <v>2071180440</v>
      </c>
      <c r="S105">
        <v>42.942399999999999</v>
      </c>
      <c r="T105">
        <v>29977372000</v>
      </c>
    </row>
    <row r="106" spans="1:20" x14ac:dyDescent="0.2">
      <c r="A106" t="s">
        <v>95</v>
      </c>
      <c r="B106" t="s">
        <v>29</v>
      </c>
      <c r="C106">
        <v>2020</v>
      </c>
      <c r="D106">
        <v>42361646000</v>
      </c>
      <c r="E106">
        <v>12722595940</v>
      </c>
      <c r="F106">
        <v>17392107000</v>
      </c>
      <c r="G106">
        <v>1481745000</v>
      </c>
      <c r="H106">
        <v>9424637000</v>
      </c>
      <c r="I106">
        <v>3.5552238621472099</v>
      </c>
      <c r="J106">
        <v>17496584624.944</v>
      </c>
      <c r="K106">
        <v>967804000</v>
      </c>
      <c r="L106">
        <v>1.1496074412600099</v>
      </c>
      <c r="M106">
        <v>5.9911396399467298</v>
      </c>
      <c r="N106">
        <v>78.737874116088904</v>
      </c>
      <c r="O106">
        <v>14.593903919546699</v>
      </c>
      <c r="P106">
        <v>23.250440000000001</v>
      </c>
      <c r="Q106">
        <v>13.05053</v>
      </c>
      <c r="R106">
        <v>2096232000</v>
      </c>
      <c r="S106">
        <v>37.309899999999999</v>
      </c>
      <c r="T106">
        <v>30590570000</v>
      </c>
    </row>
    <row r="107" spans="1:20" x14ac:dyDescent="0.2">
      <c r="A107" t="s">
        <v>95</v>
      </c>
      <c r="B107" t="s">
        <v>29</v>
      </c>
      <c r="C107">
        <v>2021</v>
      </c>
      <c r="D107">
        <v>43271418000</v>
      </c>
      <c r="E107">
        <v>12389433210</v>
      </c>
      <c r="F107">
        <v>17519294000</v>
      </c>
      <c r="G107">
        <v>1775109000</v>
      </c>
      <c r="H107">
        <v>9895890000</v>
      </c>
      <c r="I107">
        <v>3.4702977968979001</v>
      </c>
      <c r="J107">
        <v>19138376563.911999</v>
      </c>
      <c r="K107">
        <v>1226302000</v>
      </c>
      <c r="L107">
        <v>7.7476058226379303</v>
      </c>
      <c r="M107">
        <v>11.406727329464999</v>
      </c>
      <c r="N107">
        <v>80.905943402812696</v>
      </c>
      <c r="O107">
        <v>-3.8546247367165001</v>
      </c>
      <c r="P107">
        <v>23.088080000000001</v>
      </c>
      <c r="Q107">
        <v>9.9879499999999997</v>
      </c>
      <c r="R107">
        <v>2158086570</v>
      </c>
      <c r="S107">
        <v>37.442300000000003</v>
      </c>
      <c r="T107">
        <v>30903505000</v>
      </c>
    </row>
    <row r="108" spans="1:20" x14ac:dyDescent="0.2">
      <c r="A108" t="s">
        <v>95</v>
      </c>
      <c r="B108" t="s">
        <v>29</v>
      </c>
      <c r="C108">
        <v>2022</v>
      </c>
      <c r="D108">
        <v>50994152000</v>
      </c>
      <c r="E108">
        <v>15256650820</v>
      </c>
      <c r="F108">
        <v>18015313000</v>
      </c>
      <c r="G108">
        <v>3031653000</v>
      </c>
      <c r="H108">
        <v>9644679000</v>
      </c>
      <c r="I108">
        <v>3.74048255182637</v>
      </c>
      <c r="J108">
        <v>18404725576.692001</v>
      </c>
      <c r="K108">
        <v>1157960000</v>
      </c>
      <c r="L108">
        <v>3.5211614296439202</v>
      </c>
      <c r="M108">
        <v>9.1167135185637793</v>
      </c>
      <c r="N108">
        <v>87.125771140801504</v>
      </c>
      <c r="O108">
        <v>28.561025332134101</v>
      </c>
      <c r="P108">
        <v>19.89545</v>
      </c>
      <c r="Q108">
        <v>8.27393</v>
      </c>
      <c r="R108">
        <v>2538999830</v>
      </c>
      <c r="S108">
        <v>28.073599999999999</v>
      </c>
      <c r="T108">
        <v>32314748000</v>
      </c>
    </row>
    <row r="109" spans="1:20" x14ac:dyDescent="0.2">
      <c r="A109" t="s">
        <v>95</v>
      </c>
      <c r="B109" t="s">
        <v>29</v>
      </c>
      <c r="C109">
        <v>2023</v>
      </c>
      <c r="D109">
        <v>58816411000</v>
      </c>
      <c r="E109">
        <v>16055853640</v>
      </c>
      <c r="F109">
        <v>21701086000</v>
      </c>
      <c r="G109">
        <v>4886068000</v>
      </c>
      <c r="H109">
        <v>9210567000</v>
      </c>
      <c r="I109">
        <v>3.1966029162017202</v>
      </c>
      <c r="J109">
        <v>18405511123.976002</v>
      </c>
      <c r="K109">
        <v>1221283000</v>
      </c>
      <c r="L109">
        <v>-5.7002767281121702</v>
      </c>
      <c r="M109">
        <v>17.729764337897201</v>
      </c>
      <c r="N109">
        <v>82.620377573640198</v>
      </c>
      <c r="O109">
        <v>-11.0444611441856</v>
      </c>
      <c r="P109">
        <v>18.159790000000001</v>
      </c>
      <c r="Q109">
        <v>8.4767600000000005</v>
      </c>
      <c r="R109">
        <v>3118010270</v>
      </c>
      <c r="S109">
        <v>28.957100000000001</v>
      </c>
      <c r="T109">
        <v>35862812000</v>
      </c>
    </row>
    <row r="110" spans="1:20" x14ac:dyDescent="0.2">
      <c r="A110" t="s">
        <v>95</v>
      </c>
      <c r="B110" t="s">
        <v>29</v>
      </c>
      <c r="C110">
        <v>2024</v>
      </c>
      <c r="D110">
        <v>56696674000</v>
      </c>
      <c r="E110">
        <v>17713799000</v>
      </c>
      <c r="F110">
        <v>22254056000</v>
      </c>
      <c r="G110">
        <v>3381829000</v>
      </c>
      <c r="H110">
        <v>11854163000</v>
      </c>
      <c r="I110">
        <v>3.56116318193363</v>
      </c>
      <c r="J110">
        <v>14317721997.327999</v>
      </c>
      <c r="K110">
        <v>1380755000</v>
      </c>
      <c r="L110">
        <v>-9.5940424838548797</v>
      </c>
      <c r="M110">
        <v>30.626880877197198</v>
      </c>
      <c r="N110">
        <v>82.508460580039795</v>
      </c>
      <c r="O110">
        <v>-27.419163234824801</v>
      </c>
      <c r="P110">
        <v>27.469670000000001</v>
      </c>
      <c r="Q110">
        <v>14.763540000000001</v>
      </c>
      <c r="R110">
        <v>3208544160</v>
      </c>
      <c r="S110">
        <v>28.858599999999999</v>
      </c>
      <c r="T110">
        <v>39212383000</v>
      </c>
    </row>
    <row r="111" spans="1:20" x14ac:dyDescent="0.2">
      <c r="A111" t="s">
        <v>95</v>
      </c>
      <c r="B111" t="s">
        <v>29</v>
      </c>
      <c r="C111">
        <v>2025</v>
      </c>
      <c r="D111">
        <v>56430816000</v>
      </c>
      <c r="E111">
        <v>17394436410</v>
      </c>
      <c r="F111">
        <v>23278727000</v>
      </c>
      <c r="G111">
        <v>3593398000</v>
      </c>
      <c r="H111">
        <v>12007379000</v>
      </c>
      <c r="I111">
        <v>3.5040620785041598</v>
      </c>
      <c r="J111">
        <v>15974594560.431999</v>
      </c>
      <c r="K111">
        <v>873138000</v>
      </c>
      <c r="L111">
        <v>-1.5031759629417201</v>
      </c>
      <c r="M111">
        <v>20.599637373282999</v>
      </c>
      <c r="N111">
        <v>79.242673503771996</v>
      </c>
      <c r="O111">
        <v>-26.398295630551399</v>
      </c>
      <c r="P111">
        <v>28.988720000000001</v>
      </c>
      <c r="Q111">
        <v>13.052949999999999</v>
      </c>
      <c r="R111">
        <v>2959445390</v>
      </c>
      <c r="S111">
        <v>33.948700000000002</v>
      </c>
      <c r="T111">
        <v>39943398000</v>
      </c>
    </row>
    <row r="112" spans="1:20" x14ac:dyDescent="0.2">
      <c r="A112" t="s">
        <v>99</v>
      </c>
      <c r="B112" t="s">
        <v>30</v>
      </c>
      <c r="C112">
        <v>2004</v>
      </c>
      <c r="D112">
        <v>91654000000</v>
      </c>
      <c r="E112">
        <v>17211293000</v>
      </c>
      <c r="F112">
        <v>18259000000</v>
      </c>
      <c r="G112">
        <v>183000000</v>
      </c>
      <c r="H112">
        <v>8801000000</v>
      </c>
      <c r="I112" t="s">
        <v>18</v>
      </c>
      <c r="J112">
        <v>11788421745.7642</v>
      </c>
      <c r="K112">
        <v>1931000000</v>
      </c>
      <c r="L112" t="s">
        <v>18</v>
      </c>
      <c r="M112">
        <v>27.033094212093399</v>
      </c>
      <c r="N112" t="s">
        <v>18</v>
      </c>
      <c r="O112" t="s">
        <v>18</v>
      </c>
      <c r="P112">
        <v>28.538810000000002</v>
      </c>
      <c r="Q112">
        <v>18.889690000000002</v>
      </c>
      <c r="R112">
        <v>3308158650</v>
      </c>
      <c r="S112" t="s">
        <v>18</v>
      </c>
      <c r="T112">
        <v>32005000000</v>
      </c>
    </row>
    <row r="113" spans="1:20" x14ac:dyDescent="0.2">
      <c r="A113" t="s">
        <v>99</v>
      </c>
      <c r="B113" t="s">
        <v>30</v>
      </c>
      <c r="C113">
        <v>2005</v>
      </c>
      <c r="D113">
        <v>47182000000</v>
      </c>
      <c r="E113">
        <v>17061907390</v>
      </c>
      <c r="F113">
        <v>19256000000</v>
      </c>
      <c r="G113">
        <v>2178000000</v>
      </c>
      <c r="H113">
        <v>8728000000</v>
      </c>
      <c r="I113" t="s">
        <v>18</v>
      </c>
      <c r="J113">
        <v>16138739471.026899</v>
      </c>
      <c r="K113">
        <v>1582000000</v>
      </c>
      <c r="L113" t="s">
        <v>18</v>
      </c>
      <c r="M113">
        <v>2.9724756850126899</v>
      </c>
      <c r="N113">
        <v>45.194898260722802</v>
      </c>
      <c r="O113" t="s">
        <v>18</v>
      </c>
      <c r="P113">
        <v>33.084519999999998</v>
      </c>
      <c r="Q113">
        <v>20.826930000000001</v>
      </c>
      <c r="R113">
        <v>3689395080</v>
      </c>
      <c r="S113" t="s">
        <v>18</v>
      </c>
      <c r="T113">
        <v>33389000000</v>
      </c>
    </row>
    <row r="114" spans="1:20" x14ac:dyDescent="0.2">
      <c r="A114" t="s">
        <v>99</v>
      </c>
      <c r="B114" t="s">
        <v>30</v>
      </c>
      <c r="C114">
        <v>2006</v>
      </c>
      <c r="D114">
        <v>55365000000</v>
      </c>
      <c r="E114">
        <v>18614831420</v>
      </c>
      <c r="F114">
        <v>21037000000</v>
      </c>
      <c r="G114">
        <v>2614000000</v>
      </c>
      <c r="H114">
        <v>11590000000</v>
      </c>
      <c r="I114" t="s">
        <v>18</v>
      </c>
      <c r="J114">
        <v>25250598425.581799</v>
      </c>
      <c r="K114">
        <v>3690000000</v>
      </c>
      <c r="L114" t="s">
        <v>18</v>
      </c>
      <c r="M114">
        <v>11.4513190341228</v>
      </c>
      <c r="N114">
        <v>53.4323472103463</v>
      </c>
      <c r="O114" t="s">
        <v>18</v>
      </c>
      <c r="P114">
        <v>33.024299999999997</v>
      </c>
      <c r="Q114">
        <v>23.281580000000002</v>
      </c>
      <c r="R114">
        <v>5161534790</v>
      </c>
      <c r="S114" t="s">
        <v>18</v>
      </c>
      <c r="T114">
        <v>37364000000</v>
      </c>
    </row>
    <row r="115" spans="1:20" x14ac:dyDescent="0.2">
      <c r="A115" t="s">
        <v>99</v>
      </c>
      <c r="B115" t="s">
        <v>30</v>
      </c>
      <c r="C115">
        <v>2007</v>
      </c>
      <c r="D115">
        <v>54088000000</v>
      </c>
      <c r="E115">
        <v>19331792900</v>
      </c>
      <c r="F115">
        <v>21116000000</v>
      </c>
      <c r="G115">
        <v>965000000</v>
      </c>
      <c r="H115">
        <v>11291000000</v>
      </c>
      <c r="I115" t="s">
        <v>18</v>
      </c>
      <c r="J115">
        <v>27111928752.423</v>
      </c>
      <c r="K115">
        <v>3080000000</v>
      </c>
      <c r="L115" t="s">
        <v>18</v>
      </c>
      <c r="M115">
        <v>9.4891311794452502</v>
      </c>
      <c r="N115">
        <v>58.194490164474402</v>
      </c>
      <c r="O115" t="s">
        <v>18</v>
      </c>
      <c r="P115">
        <v>38.738399999999999</v>
      </c>
      <c r="Q115">
        <v>26.988250000000001</v>
      </c>
      <c r="R115">
        <v>5471087500</v>
      </c>
      <c r="S115" t="s">
        <v>18</v>
      </c>
      <c r="T115">
        <v>37052000000</v>
      </c>
    </row>
    <row r="116" spans="1:20" x14ac:dyDescent="0.2">
      <c r="A116" t="s">
        <v>99</v>
      </c>
      <c r="B116" t="s">
        <v>30</v>
      </c>
      <c r="C116">
        <v>2008</v>
      </c>
      <c r="D116">
        <v>58522000000</v>
      </c>
      <c r="E116">
        <v>13866917530</v>
      </c>
      <c r="F116">
        <v>22181000000</v>
      </c>
      <c r="G116">
        <v>1059000000</v>
      </c>
      <c r="H116">
        <v>11989000000</v>
      </c>
      <c r="I116" t="s">
        <v>18</v>
      </c>
      <c r="J116">
        <v>16427318475.4856</v>
      </c>
      <c r="K116">
        <v>2867000000</v>
      </c>
      <c r="L116" t="s">
        <v>18</v>
      </c>
      <c r="M116">
        <v>12.3448731969499</v>
      </c>
      <c r="N116">
        <v>65.638969217916596</v>
      </c>
      <c r="O116" t="s">
        <v>18</v>
      </c>
      <c r="P116">
        <v>37.586449999999999</v>
      </c>
      <c r="Q116">
        <v>26.359760000000001</v>
      </c>
      <c r="R116">
        <v>5138132110</v>
      </c>
      <c r="S116" t="s">
        <v>18</v>
      </c>
      <c r="T116">
        <v>39311000000</v>
      </c>
    </row>
    <row r="117" spans="1:20" x14ac:dyDescent="0.2">
      <c r="A117" t="s">
        <v>99</v>
      </c>
      <c r="B117" t="s">
        <v>30</v>
      </c>
      <c r="C117">
        <v>2009</v>
      </c>
      <c r="D117">
        <v>58354000000</v>
      </c>
      <c r="E117">
        <v>15682945760</v>
      </c>
      <c r="F117">
        <v>18884000000</v>
      </c>
      <c r="G117">
        <v>4787000000</v>
      </c>
      <c r="H117">
        <v>17079000000</v>
      </c>
      <c r="I117" t="s">
        <v>18</v>
      </c>
      <c r="J117">
        <v>15363185625.371901</v>
      </c>
      <c r="K117">
        <v>3175000000</v>
      </c>
      <c r="L117" t="s">
        <v>18</v>
      </c>
      <c r="M117">
        <v>12.5179520568363</v>
      </c>
      <c r="N117">
        <v>90.882287687817794</v>
      </c>
      <c r="O117" t="s">
        <v>18</v>
      </c>
      <c r="P117">
        <v>30.451920000000001</v>
      </c>
      <c r="Q117">
        <v>23.143280000000001</v>
      </c>
      <c r="R117">
        <v>5239310900</v>
      </c>
      <c r="S117">
        <v>0</v>
      </c>
      <c r="T117">
        <v>39639000000</v>
      </c>
    </row>
    <row r="118" spans="1:20" x14ac:dyDescent="0.2">
      <c r="A118" t="s">
        <v>99</v>
      </c>
      <c r="B118" t="s">
        <v>30</v>
      </c>
      <c r="C118">
        <v>2010</v>
      </c>
      <c r="D118">
        <v>59937000000</v>
      </c>
      <c r="E118">
        <v>13820784630</v>
      </c>
      <c r="F118">
        <v>20441000000</v>
      </c>
      <c r="G118">
        <v>1838000000</v>
      </c>
      <c r="H118">
        <v>14227000000</v>
      </c>
      <c r="I118" t="s">
        <v>18</v>
      </c>
      <c r="J118">
        <v>9957316971.1417408</v>
      </c>
      <c r="K118">
        <v>4315000000</v>
      </c>
      <c r="L118" t="s">
        <v>18</v>
      </c>
      <c r="M118">
        <v>7.34467031788928</v>
      </c>
      <c r="N118">
        <v>93.161237663235099</v>
      </c>
      <c r="O118" t="s">
        <v>18</v>
      </c>
      <c r="P118">
        <v>27.880420000000001</v>
      </c>
      <c r="Q118">
        <v>19.486979999999999</v>
      </c>
      <c r="R118">
        <v>5111729680</v>
      </c>
      <c r="S118">
        <v>0</v>
      </c>
      <c r="T118">
        <v>39401000000</v>
      </c>
    </row>
    <row r="119" spans="1:20" x14ac:dyDescent="0.2">
      <c r="A119" t="s">
        <v>99</v>
      </c>
      <c r="B119" t="s">
        <v>30</v>
      </c>
      <c r="C119">
        <v>2011</v>
      </c>
      <c r="D119">
        <v>62588000000</v>
      </c>
      <c r="E119">
        <v>11072060000</v>
      </c>
      <c r="F119">
        <v>17241000000</v>
      </c>
      <c r="G119">
        <v>1828000000</v>
      </c>
      <c r="H119">
        <v>17776000000</v>
      </c>
      <c r="I119" t="s">
        <v>18</v>
      </c>
      <c r="J119">
        <v>8821247363.2935791</v>
      </c>
      <c r="K119">
        <v>5117000000</v>
      </c>
      <c r="L119" t="s">
        <v>18</v>
      </c>
      <c r="M119">
        <v>-4.3986454705329203</v>
      </c>
      <c r="N119">
        <v>90.485885235164801</v>
      </c>
      <c r="O119" t="s">
        <v>18</v>
      </c>
      <c r="P119">
        <v>23.972799999999999</v>
      </c>
      <c r="Q119">
        <v>16.136900000000001</v>
      </c>
      <c r="R119">
        <v>4858880250</v>
      </c>
      <c r="S119">
        <v>0</v>
      </c>
      <c r="T119">
        <v>40405000000</v>
      </c>
    </row>
    <row r="120" spans="1:20" x14ac:dyDescent="0.2">
      <c r="A120" t="s">
        <v>99</v>
      </c>
      <c r="B120" t="s">
        <v>30</v>
      </c>
      <c r="C120">
        <v>2012</v>
      </c>
      <c r="D120">
        <v>58721000000</v>
      </c>
      <c r="E120">
        <v>8469735930</v>
      </c>
      <c r="F120">
        <v>13861000000</v>
      </c>
      <c r="G120">
        <v>2788000000</v>
      </c>
      <c r="H120">
        <v>19291000000</v>
      </c>
      <c r="I120" t="s">
        <v>18</v>
      </c>
      <c r="J120">
        <v>8693160590.9310398</v>
      </c>
      <c r="K120">
        <v>2991000000</v>
      </c>
      <c r="L120" t="s">
        <v>18</v>
      </c>
      <c r="M120">
        <v>-4.5135888509092004</v>
      </c>
      <c r="N120">
        <v>82.741694507196698</v>
      </c>
      <c r="O120" t="s">
        <v>18</v>
      </c>
      <c r="P120">
        <v>30.217829999999999</v>
      </c>
      <c r="Q120">
        <v>14.23545</v>
      </c>
      <c r="R120">
        <v>4605391240</v>
      </c>
      <c r="S120">
        <v>0</v>
      </c>
      <c r="T120">
        <v>38540000000</v>
      </c>
    </row>
    <row r="121" spans="1:20" x14ac:dyDescent="0.2">
      <c r="A121" t="s">
        <v>99</v>
      </c>
      <c r="B121" t="s">
        <v>30</v>
      </c>
      <c r="C121">
        <v>2013</v>
      </c>
      <c r="D121">
        <v>58778000000</v>
      </c>
      <c r="E121">
        <v>3306652000</v>
      </c>
      <c r="F121">
        <v>10425000000</v>
      </c>
      <c r="G121">
        <v>1986000000</v>
      </c>
      <c r="H121">
        <v>20653000000</v>
      </c>
      <c r="I121" t="s">
        <v>18</v>
      </c>
      <c r="J121">
        <v>12310206152.0495</v>
      </c>
      <c r="K121">
        <v>2712000000</v>
      </c>
      <c r="L121" t="s">
        <v>18</v>
      </c>
      <c r="M121">
        <v>-10.4642642268479</v>
      </c>
      <c r="N121">
        <v>72.040923409432693</v>
      </c>
      <c r="O121">
        <v>-28.295611024237701</v>
      </c>
      <c r="P121">
        <v>20.26051</v>
      </c>
      <c r="Q121">
        <v>13.9186</v>
      </c>
      <c r="R121">
        <v>4068072830</v>
      </c>
      <c r="S121">
        <v>0</v>
      </c>
      <c r="T121">
        <v>36794000000</v>
      </c>
    </row>
    <row r="122" spans="1:20" x14ac:dyDescent="0.2">
      <c r="A122" t="s">
        <v>99</v>
      </c>
      <c r="B122" t="s">
        <v>30</v>
      </c>
      <c r="C122">
        <v>2014</v>
      </c>
      <c r="D122">
        <v>55957000000</v>
      </c>
      <c r="E122">
        <v>6037232410</v>
      </c>
      <c r="F122">
        <v>8240000000</v>
      </c>
      <c r="G122">
        <v>4145000000</v>
      </c>
      <c r="H122">
        <v>20521000000</v>
      </c>
      <c r="I122">
        <v>2.1865320524932899</v>
      </c>
      <c r="J122">
        <v>16410657813.5</v>
      </c>
      <c r="K122">
        <v>1119000000</v>
      </c>
      <c r="L122">
        <v>-0.85306815019562099</v>
      </c>
      <c r="M122">
        <v>-10.584402625861101</v>
      </c>
      <c r="N122">
        <v>74.2795602929544</v>
      </c>
      <c r="O122">
        <v>-70.516826453617398</v>
      </c>
      <c r="P122">
        <v>14.362069999999999</v>
      </c>
      <c r="Q122">
        <v>7.8178000000000001</v>
      </c>
      <c r="R122">
        <v>2381287470</v>
      </c>
      <c r="S122">
        <v>0</v>
      </c>
      <c r="T122">
        <v>35002000000</v>
      </c>
    </row>
    <row r="123" spans="1:20" x14ac:dyDescent="0.2">
      <c r="A123" t="s">
        <v>99</v>
      </c>
      <c r="B123" t="s">
        <v>30</v>
      </c>
      <c r="C123">
        <v>2015</v>
      </c>
      <c r="D123">
        <v>30696000000</v>
      </c>
      <c r="E123">
        <v>4896061800</v>
      </c>
      <c r="F123">
        <v>6083000000</v>
      </c>
      <c r="G123">
        <v>648000000</v>
      </c>
      <c r="H123">
        <v>8576000000</v>
      </c>
      <c r="I123">
        <v>1.55320829400143</v>
      </c>
      <c r="J123">
        <v>20698603887.349998</v>
      </c>
      <c r="K123">
        <v>987000000</v>
      </c>
      <c r="L123">
        <v>-0.85502397262681396</v>
      </c>
      <c r="M123">
        <v>-10.4849461552233</v>
      </c>
      <c r="N123">
        <v>72.115671082879601</v>
      </c>
      <c r="O123">
        <v>-47.1892071973828</v>
      </c>
      <c r="P123">
        <v>13.773709999999999</v>
      </c>
      <c r="Q123">
        <v>7.4981400000000002</v>
      </c>
      <c r="R123">
        <v>1787119440</v>
      </c>
      <c r="S123">
        <v>0</v>
      </c>
      <c r="T123">
        <v>14658000000</v>
      </c>
    </row>
    <row r="124" spans="1:20" x14ac:dyDescent="0.2">
      <c r="A124" t="s">
        <v>99</v>
      </c>
      <c r="B124" t="s">
        <v>30</v>
      </c>
      <c r="C124">
        <v>2016</v>
      </c>
      <c r="D124">
        <v>29245000000</v>
      </c>
      <c r="E124">
        <v>4798624050</v>
      </c>
      <c r="F124">
        <v>4680000000</v>
      </c>
      <c r="G124">
        <v>346000000</v>
      </c>
      <c r="H124">
        <v>9036000000</v>
      </c>
      <c r="I124">
        <v>1.4741071429152299</v>
      </c>
      <c r="J124">
        <v>20375684491.665001</v>
      </c>
      <c r="K124">
        <v>1105000000</v>
      </c>
      <c r="L124">
        <v>2.2977952737048901</v>
      </c>
      <c r="M124">
        <v>-19.4003392794137</v>
      </c>
      <c r="N124">
        <v>74.5471364770289</v>
      </c>
      <c r="O124">
        <v>81.028164399093001</v>
      </c>
      <c r="P124">
        <v>11.638299999999999</v>
      </c>
      <c r="Q124">
        <v>5.2527299999999997</v>
      </c>
      <c r="R124">
        <v>1959144000</v>
      </c>
      <c r="S124">
        <v>0</v>
      </c>
      <c r="T124">
        <v>13719000000</v>
      </c>
    </row>
    <row r="125" spans="1:20" x14ac:dyDescent="0.2">
      <c r="A125" t="s">
        <v>99</v>
      </c>
      <c r="B125" t="s">
        <v>30</v>
      </c>
      <c r="C125">
        <v>2017</v>
      </c>
      <c r="D125">
        <v>30960000000</v>
      </c>
      <c r="E125">
        <v>5213179150</v>
      </c>
      <c r="F125">
        <v>5350000000</v>
      </c>
      <c r="G125">
        <v>418000000</v>
      </c>
      <c r="H125">
        <v>8952000000</v>
      </c>
      <c r="I125">
        <v>1.5769585512436599</v>
      </c>
      <c r="J125">
        <v>19650439291.52</v>
      </c>
      <c r="K125">
        <v>1471000000</v>
      </c>
      <c r="L125">
        <v>1.02498596043174</v>
      </c>
      <c r="M125">
        <v>-14.8722196498875</v>
      </c>
      <c r="N125">
        <v>75.441221660865907</v>
      </c>
      <c r="O125">
        <v>-22.508256756756801</v>
      </c>
      <c r="P125">
        <v>16.102920000000001</v>
      </c>
      <c r="Q125">
        <v>8.8877000000000006</v>
      </c>
      <c r="R125">
        <v>1905313770</v>
      </c>
      <c r="S125">
        <v>35.050899999999999</v>
      </c>
      <c r="T125">
        <v>14438000000</v>
      </c>
    </row>
    <row r="126" spans="1:20" x14ac:dyDescent="0.2">
      <c r="A126" t="s">
        <v>99</v>
      </c>
      <c r="B126" t="s">
        <v>30</v>
      </c>
      <c r="C126">
        <v>2018</v>
      </c>
      <c r="D126">
        <v>31037000000</v>
      </c>
      <c r="E126">
        <v>5878919720</v>
      </c>
      <c r="F126">
        <v>5380000000</v>
      </c>
      <c r="G126">
        <v>399000000</v>
      </c>
      <c r="H126">
        <v>9096000000</v>
      </c>
      <c r="I126">
        <v>1.6669850449983901</v>
      </c>
      <c r="J126">
        <v>20836241662.560001</v>
      </c>
      <c r="K126">
        <v>1488000000</v>
      </c>
      <c r="L126">
        <v>2.1843669422957399</v>
      </c>
      <c r="M126">
        <v>-13.6617706669558</v>
      </c>
      <c r="N126">
        <v>76.909363312794795</v>
      </c>
      <c r="O126">
        <v>36.856824675324702</v>
      </c>
      <c r="P126">
        <v>16.091259999999998</v>
      </c>
      <c r="Q126">
        <v>9.3070000000000004</v>
      </c>
      <c r="R126">
        <v>1969277000</v>
      </c>
      <c r="S126">
        <v>31.965599999999998</v>
      </c>
      <c r="T126">
        <v>14613000000</v>
      </c>
    </row>
    <row r="127" spans="1:20" x14ac:dyDescent="0.2">
      <c r="A127" t="s">
        <v>99</v>
      </c>
      <c r="B127" t="s">
        <v>30</v>
      </c>
      <c r="C127">
        <v>2019</v>
      </c>
      <c r="D127">
        <v>31656000000</v>
      </c>
      <c r="E127">
        <v>6998784650</v>
      </c>
      <c r="F127">
        <v>6015000000</v>
      </c>
      <c r="G127">
        <v>244000000</v>
      </c>
      <c r="H127">
        <v>9037000000</v>
      </c>
      <c r="I127">
        <v>1.8693322232471401</v>
      </c>
      <c r="J127">
        <v>26130002247.560001</v>
      </c>
      <c r="K127">
        <v>1391000000</v>
      </c>
      <c r="L127">
        <v>2.1883129960429999</v>
      </c>
      <c r="M127">
        <v>-9.7195561388417495</v>
      </c>
      <c r="N127">
        <v>83.656641233586299</v>
      </c>
      <c r="O127">
        <v>29.672611228070199</v>
      </c>
      <c r="P127">
        <v>16.34591</v>
      </c>
      <c r="Q127">
        <v>8.9091000000000005</v>
      </c>
      <c r="R127">
        <v>1738778330</v>
      </c>
      <c r="S127">
        <v>34.1922</v>
      </c>
      <c r="T127">
        <v>15196000000</v>
      </c>
    </row>
    <row r="128" spans="1:20" x14ac:dyDescent="0.2">
      <c r="A128" t="s">
        <v>99</v>
      </c>
      <c r="B128" t="s">
        <v>30</v>
      </c>
      <c r="C128">
        <v>2020</v>
      </c>
      <c r="D128">
        <v>31981000000</v>
      </c>
      <c r="E128">
        <v>7179379880</v>
      </c>
      <c r="F128">
        <v>6586000000</v>
      </c>
      <c r="G128">
        <v>223000000</v>
      </c>
      <c r="H128">
        <v>7688000000</v>
      </c>
      <c r="I128">
        <v>1.72199007277209</v>
      </c>
      <c r="J128">
        <v>24743036974.290001</v>
      </c>
      <c r="K128">
        <v>165000000</v>
      </c>
      <c r="L128">
        <v>0.13849028162716601</v>
      </c>
      <c r="M128">
        <v>-0.34779671237520299</v>
      </c>
      <c r="N128">
        <v>84.522290117301594</v>
      </c>
      <c r="O128">
        <v>-8.21312520593081</v>
      </c>
      <c r="P128">
        <v>16.131170000000001</v>
      </c>
      <c r="Q128">
        <v>8.2109299999999994</v>
      </c>
      <c r="R128">
        <v>2514944060</v>
      </c>
      <c r="S128">
        <v>40.551900000000003</v>
      </c>
      <c r="T128">
        <v>14423000000</v>
      </c>
    </row>
    <row r="129" spans="1:20" x14ac:dyDescent="0.2">
      <c r="A129" t="s">
        <v>99</v>
      </c>
      <c r="B129" t="s">
        <v>30</v>
      </c>
      <c r="C129">
        <v>2021</v>
      </c>
      <c r="D129">
        <v>32062000000</v>
      </c>
      <c r="E129">
        <v>9232871150</v>
      </c>
      <c r="F129">
        <v>7273000000</v>
      </c>
      <c r="G129">
        <v>403000000</v>
      </c>
      <c r="H129">
        <v>7315000000</v>
      </c>
      <c r="I129">
        <v>2.5056603316579702</v>
      </c>
      <c r="J129">
        <v>21153867297.66</v>
      </c>
      <c r="K129">
        <v>1366000000</v>
      </c>
      <c r="L129">
        <v>1.40460339834235</v>
      </c>
      <c r="M129">
        <v>14.077554105228799</v>
      </c>
      <c r="N129">
        <v>85.578238553798201</v>
      </c>
      <c r="O129">
        <v>20.7275387323944</v>
      </c>
      <c r="P129">
        <v>21.81232</v>
      </c>
      <c r="Q129">
        <v>13.225809999999999</v>
      </c>
      <c r="R129">
        <v>2259172380</v>
      </c>
      <c r="S129">
        <v>47.4983</v>
      </c>
      <c r="T129">
        <v>14738000000</v>
      </c>
    </row>
    <row r="130" spans="1:20" x14ac:dyDescent="0.2">
      <c r="A130" t="s">
        <v>99</v>
      </c>
      <c r="B130" t="s">
        <v>30</v>
      </c>
      <c r="C130">
        <v>2022</v>
      </c>
      <c r="D130">
        <v>39968000000</v>
      </c>
      <c r="E130">
        <v>10377317000</v>
      </c>
      <c r="F130">
        <v>10378000000</v>
      </c>
      <c r="G130">
        <v>703000000</v>
      </c>
      <c r="H130">
        <v>5380000000</v>
      </c>
      <c r="I130">
        <v>1.9913278496556499</v>
      </c>
      <c r="J130">
        <v>19015188021.32</v>
      </c>
      <c r="K130">
        <v>1458000000</v>
      </c>
      <c r="L130">
        <v>-8.4738420167663104</v>
      </c>
      <c r="M130">
        <v>10.601245283683999</v>
      </c>
      <c r="N130">
        <v>85.178485365852495</v>
      </c>
      <c r="O130">
        <v>15.441878482228599</v>
      </c>
      <c r="P130">
        <v>17.106079999999999</v>
      </c>
      <c r="Q130">
        <v>9.7899399999999996</v>
      </c>
      <c r="R130">
        <v>3095622060</v>
      </c>
      <c r="S130">
        <v>45.892699999999998</v>
      </c>
      <c r="T130">
        <v>15922000000</v>
      </c>
    </row>
    <row r="131" spans="1:20" x14ac:dyDescent="0.2">
      <c r="A131" t="s">
        <v>99</v>
      </c>
      <c r="B131" t="s">
        <v>30</v>
      </c>
      <c r="C131">
        <v>2023</v>
      </c>
      <c r="D131">
        <v>50067000000</v>
      </c>
      <c r="E131">
        <v>12033417290</v>
      </c>
      <c r="F131">
        <v>18488000000</v>
      </c>
      <c r="G131">
        <v>871000000</v>
      </c>
      <c r="H131">
        <v>5557000000</v>
      </c>
      <c r="I131">
        <v>2.7846024924196402</v>
      </c>
      <c r="J131">
        <v>20433915858.099998</v>
      </c>
      <c r="K131">
        <v>2581000000</v>
      </c>
      <c r="L131">
        <v>-1.4594152658988899</v>
      </c>
      <c r="M131">
        <v>14.6129492102969</v>
      </c>
      <c r="N131">
        <v>80.750575507838505</v>
      </c>
      <c r="O131">
        <v>8.2162317073170694</v>
      </c>
      <c r="P131">
        <v>22.391780000000001</v>
      </c>
      <c r="Q131">
        <v>17.366849999999999</v>
      </c>
      <c r="R131">
        <v>2444854570</v>
      </c>
      <c r="S131">
        <v>42.572499999999998</v>
      </c>
      <c r="T131">
        <v>24246000000</v>
      </c>
    </row>
    <row r="132" spans="1:20" x14ac:dyDescent="0.2">
      <c r="A132" t="s">
        <v>99</v>
      </c>
      <c r="B132" t="s">
        <v>30</v>
      </c>
      <c r="C132">
        <v>2024</v>
      </c>
      <c r="D132">
        <v>41283000000</v>
      </c>
      <c r="E132">
        <v>10129136670</v>
      </c>
      <c r="F132">
        <v>13727000000</v>
      </c>
      <c r="G132">
        <v>2106000000</v>
      </c>
      <c r="H132">
        <v>7017000000</v>
      </c>
      <c r="I132">
        <v>1.9602244964143101</v>
      </c>
      <c r="J132">
        <v>21958518906.580002</v>
      </c>
      <c r="K132">
        <v>752000000</v>
      </c>
      <c r="L132">
        <v>13.810448750543801</v>
      </c>
      <c r="M132">
        <v>9.8945732932126802</v>
      </c>
      <c r="N132">
        <v>80.132960460448899</v>
      </c>
      <c r="O132">
        <v>-26.911027583187401</v>
      </c>
      <c r="P132">
        <v>26.191130000000001</v>
      </c>
      <c r="Q132">
        <v>19.24663</v>
      </c>
      <c r="R132">
        <v>3066477150</v>
      </c>
      <c r="S132">
        <v>42.208199999999998</v>
      </c>
      <c r="T132">
        <v>20931000000</v>
      </c>
    </row>
    <row r="133" spans="1:20" x14ac:dyDescent="0.2">
      <c r="A133" t="s">
        <v>99</v>
      </c>
      <c r="B133" t="s">
        <v>30</v>
      </c>
      <c r="C133">
        <v>2025</v>
      </c>
      <c r="D133">
        <v>37345000000</v>
      </c>
      <c r="E133">
        <v>10692816500</v>
      </c>
      <c r="F133">
        <v>10494000000</v>
      </c>
      <c r="G133">
        <v>840000000</v>
      </c>
      <c r="H133">
        <v>8110000000</v>
      </c>
      <c r="I133">
        <v>1.9158909965354201</v>
      </c>
      <c r="J133">
        <v>32630740245.939999</v>
      </c>
      <c r="K133">
        <v>1882000000</v>
      </c>
      <c r="L133">
        <v>-6.32668970878062</v>
      </c>
      <c r="M133">
        <v>0.273078889688949</v>
      </c>
      <c r="N133">
        <v>75.591651056203801</v>
      </c>
      <c r="O133">
        <v>67.502418743228603</v>
      </c>
      <c r="P133">
        <v>27.882860000000001</v>
      </c>
      <c r="Q133">
        <v>18.951519999999999</v>
      </c>
      <c r="R133">
        <v>3320105850</v>
      </c>
      <c r="S133">
        <v>48.522300000000001</v>
      </c>
      <c r="T133">
        <v>19547000000</v>
      </c>
    </row>
    <row r="134" spans="1:20" x14ac:dyDescent="0.2">
      <c r="A134" t="s">
        <v>101</v>
      </c>
      <c r="B134" t="s">
        <v>31</v>
      </c>
      <c r="C134">
        <v>2004</v>
      </c>
      <c r="D134">
        <v>69839000000</v>
      </c>
      <c r="E134">
        <v>23231155850</v>
      </c>
      <c r="F134">
        <v>25723000000</v>
      </c>
      <c r="G134">
        <v>426000000</v>
      </c>
      <c r="H134">
        <v>21124000000</v>
      </c>
      <c r="I134" t="s">
        <v>18</v>
      </c>
      <c r="J134">
        <v>43168234355.829399</v>
      </c>
      <c r="K134">
        <v>2427000000</v>
      </c>
      <c r="L134" t="s">
        <v>18</v>
      </c>
      <c r="M134">
        <v>5.5326848267786897</v>
      </c>
      <c r="N134">
        <v>61.258916830760903</v>
      </c>
      <c r="O134" t="s">
        <v>18</v>
      </c>
      <c r="P134">
        <v>34.427480000000003</v>
      </c>
      <c r="Q134">
        <v>17.07208</v>
      </c>
      <c r="R134">
        <v>5384284210</v>
      </c>
      <c r="S134" t="s">
        <v>18</v>
      </c>
      <c r="T134">
        <v>47038000000</v>
      </c>
    </row>
    <row r="135" spans="1:20" x14ac:dyDescent="0.2">
      <c r="A135" t="s">
        <v>101</v>
      </c>
      <c r="B135" t="s">
        <v>31</v>
      </c>
      <c r="C135">
        <v>2005</v>
      </c>
      <c r="D135">
        <v>65378000000</v>
      </c>
      <c r="E135">
        <v>13449753830</v>
      </c>
      <c r="F135">
        <v>26880000000</v>
      </c>
      <c r="G135">
        <v>331000000</v>
      </c>
      <c r="H135">
        <v>17953000000</v>
      </c>
      <c r="I135" t="s">
        <v>18</v>
      </c>
      <c r="J135">
        <v>41210218424.409599</v>
      </c>
      <c r="K135">
        <v>3171000000</v>
      </c>
      <c r="L135" t="s">
        <v>18</v>
      </c>
      <c r="M135">
        <v>5.2422286034002497</v>
      </c>
      <c r="N135">
        <v>61.973689209726501</v>
      </c>
      <c r="O135" t="s">
        <v>18</v>
      </c>
      <c r="P135">
        <v>32.957639999999998</v>
      </c>
      <c r="Q135">
        <v>20.796990000000001</v>
      </c>
      <c r="R135">
        <v>5498717060</v>
      </c>
      <c r="S135" t="s">
        <v>18</v>
      </c>
      <c r="T135">
        <v>45946000000</v>
      </c>
    </row>
    <row r="136" spans="1:20" x14ac:dyDescent="0.2">
      <c r="A136" t="s">
        <v>101</v>
      </c>
      <c r="B136" t="s">
        <v>31</v>
      </c>
      <c r="C136">
        <v>2006</v>
      </c>
      <c r="D136">
        <v>50502000000</v>
      </c>
      <c r="E136">
        <v>14534266060</v>
      </c>
      <c r="F136">
        <v>13263000000</v>
      </c>
      <c r="G136">
        <v>476000000</v>
      </c>
      <c r="H136">
        <v>19057000000</v>
      </c>
      <c r="I136" t="s">
        <v>18</v>
      </c>
      <c r="J136">
        <v>46922136655.542297</v>
      </c>
      <c r="K136">
        <v>3066000000</v>
      </c>
      <c r="L136" t="s">
        <v>18</v>
      </c>
      <c r="M136">
        <v>4.7814542885106004</v>
      </c>
      <c r="N136">
        <v>70.867247559819802</v>
      </c>
      <c r="O136" t="s">
        <v>18</v>
      </c>
      <c r="P136">
        <v>25.59778</v>
      </c>
      <c r="Q136">
        <v>16.734629999999999</v>
      </c>
      <c r="R136">
        <v>5817355410</v>
      </c>
      <c r="S136" t="s">
        <v>18</v>
      </c>
      <c r="T136">
        <v>32679000000</v>
      </c>
    </row>
    <row r="137" spans="1:20" x14ac:dyDescent="0.2">
      <c r="A137" t="s">
        <v>101</v>
      </c>
      <c r="B137" t="s">
        <v>31</v>
      </c>
      <c r="C137">
        <v>2007</v>
      </c>
      <c r="D137">
        <v>54500000000</v>
      </c>
      <c r="E137">
        <v>15284320000</v>
      </c>
      <c r="F137">
        <v>13603000000</v>
      </c>
      <c r="G137">
        <v>547000000</v>
      </c>
      <c r="H137">
        <v>18460000000</v>
      </c>
      <c r="I137" t="s">
        <v>18</v>
      </c>
      <c r="J137">
        <v>50648215269.935898</v>
      </c>
      <c r="K137">
        <v>5691000000</v>
      </c>
      <c r="L137" t="s">
        <v>18</v>
      </c>
      <c r="M137">
        <v>-8.8839796364661794</v>
      </c>
      <c r="N137">
        <v>67.667312490854101</v>
      </c>
      <c r="O137" t="s">
        <v>18</v>
      </c>
      <c r="P137">
        <v>28.791640000000001</v>
      </c>
      <c r="Q137">
        <v>22.516470000000002</v>
      </c>
      <c r="R137">
        <v>6358293900</v>
      </c>
      <c r="S137" t="s">
        <v>18</v>
      </c>
      <c r="T137">
        <v>32628000000</v>
      </c>
    </row>
    <row r="138" spans="1:20" x14ac:dyDescent="0.2">
      <c r="A138" t="s">
        <v>101</v>
      </c>
      <c r="B138" t="s">
        <v>31</v>
      </c>
      <c r="C138">
        <v>2008</v>
      </c>
      <c r="D138">
        <v>130851000000</v>
      </c>
      <c r="E138">
        <v>47801520710</v>
      </c>
      <c r="F138">
        <v>60169000000</v>
      </c>
      <c r="G138">
        <v>1234000000</v>
      </c>
      <c r="H138">
        <v>19553000000</v>
      </c>
      <c r="I138" t="s">
        <v>18</v>
      </c>
      <c r="J138">
        <v>27449164971.228001</v>
      </c>
      <c r="K138">
        <v>3952000000</v>
      </c>
      <c r="L138" t="s">
        <v>18</v>
      </c>
      <c r="M138">
        <v>-1.7648982472537</v>
      </c>
      <c r="N138">
        <v>61.332635486073301</v>
      </c>
      <c r="O138" t="s">
        <v>18</v>
      </c>
      <c r="P138">
        <v>23.315329999999999</v>
      </c>
      <c r="Q138">
        <v>16.363759999999999</v>
      </c>
      <c r="R138">
        <v>9523087560</v>
      </c>
      <c r="S138" t="s">
        <v>18</v>
      </c>
      <c r="T138">
        <v>86802000000</v>
      </c>
    </row>
    <row r="139" spans="1:20" x14ac:dyDescent="0.2">
      <c r="A139" t="s">
        <v>101</v>
      </c>
      <c r="B139" t="s">
        <v>31</v>
      </c>
      <c r="C139">
        <v>2009</v>
      </c>
      <c r="D139">
        <v>133077000000</v>
      </c>
      <c r="E139">
        <v>52875794780</v>
      </c>
      <c r="F139">
        <v>59622000000</v>
      </c>
      <c r="G139">
        <v>5106000000</v>
      </c>
      <c r="H139">
        <v>20392000000</v>
      </c>
      <c r="I139" t="s">
        <v>18</v>
      </c>
      <c r="J139">
        <v>38271666225.650002</v>
      </c>
      <c r="K139">
        <v>8370000000</v>
      </c>
      <c r="L139" t="s">
        <v>18</v>
      </c>
      <c r="M139">
        <v>13.259568827180599</v>
      </c>
      <c r="N139">
        <v>70.390366965919895</v>
      </c>
      <c r="O139" t="s">
        <v>18</v>
      </c>
      <c r="P139">
        <v>24.156639999999999</v>
      </c>
      <c r="Q139">
        <v>15.62663</v>
      </c>
      <c r="R139">
        <v>10496225500</v>
      </c>
      <c r="S139">
        <v>0</v>
      </c>
      <c r="T139">
        <v>85911000000</v>
      </c>
    </row>
    <row r="140" spans="1:20" x14ac:dyDescent="0.2">
      <c r="A140" t="s">
        <v>101</v>
      </c>
      <c r="B140" t="s">
        <v>31</v>
      </c>
      <c r="C140">
        <v>2010</v>
      </c>
      <c r="D140">
        <v>162331000000</v>
      </c>
      <c r="E140">
        <v>48798943070</v>
      </c>
      <c r="F140">
        <v>66301000000</v>
      </c>
      <c r="G140">
        <v>4170000000</v>
      </c>
      <c r="H140">
        <v>33268000000</v>
      </c>
      <c r="I140" t="s">
        <v>18</v>
      </c>
      <c r="J140">
        <v>34604356685.599998</v>
      </c>
      <c r="K140">
        <v>6748000000</v>
      </c>
      <c r="L140" t="s">
        <v>18</v>
      </c>
      <c r="M140">
        <v>12.794827991599799</v>
      </c>
      <c r="N140">
        <v>84.177276782500797</v>
      </c>
      <c r="O140" t="s">
        <v>18</v>
      </c>
      <c r="P140">
        <v>25.637799999999999</v>
      </c>
      <c r="Q140">
        <v>17.922070000000001</v>
      </c>
      <c r="R140">
        <v>11222810900</v>
      </c>
      <c r="S140">
        <v>0</v>
      </c>
      <c r="T140">
        <v>112234000000</v>
      </c>
    </row>
    <row r="141" spans="1:20" x14ac:dyDescent="0.2">
      <c r="A141" t="s">
        <v>101</v>
      </c>
      <c r="B141" t="s">
        <v>31</v>
      </c>
      <c r="C141">
        <v>2011</v>
      </c>
      <c r="D141">
        <v>168562000000</v>
      </c>
      <c r="E141">
        <v>46104140870</v>
      </c>
      <c r="F141">
        <v>63648000000</v>
      </c>
      <c r="G141">
        <v>5164000000</v>
      </c>
      <c r="H141">
        <v>37989000000</v>
      </c>
      <c r="I141" t="s">
        <v>18</v>
      </c>
      <c r="J141">
        <v>29601770338.66</v>
      </c>
      <c r="K141">
        <v>5673000000</v>
      </c>
      <c r="L141" t="s">
        <v>18</v>
      </c>
      <c r="M141">
        <v>17.1509938430458</v>
      </c>
      <c r="N141">
        <v>82.094970476619196</v>
      </c>
      <c r="O141" t="s">
        <v>18</v>
      </c>
      <c r="P141">
        <v>23.769030000000001</v>
      </c>
      <c r="Q141">
        <v>16.25986</v>
      </c>
      <c r="R141">
        <v>11456910530</v>
      </c>
      <c r="S141">
        <v>33.075800000000001</v>
      </c>
      <c r="T141">
        <v>117514000000</v>
      </c>
    </row>
    <row r="142" spans="1:20" x14ac:dyDescent="0.2">
      <c r="A142" t="s">
        <v>101</v>
      </c>
      <c r="B142" t="s">
        <v>31</v>
      </c>
      <c r="C142">
        <v>2012</v>
      </c>
      <c r="D142">
        <v>169884000000</v>
      </c>
      <c r="E142">
        <v>44170851860</v>
      </c>
      <c r="F142">
        <v>63174000000</v>
      </c>
      <c r="G142">
        <v>7015000000</v>
      </c>
      <c r="H142">
        <v>38512000000</v>
      </c>
      <c r="I142" t="s">
        <v>18</v>
      </c>
      <c r="J142">
        <v>27401384614.630001</v>
      </c>
      <c r="K142">
        <v>5323000000</v>
      </c>
      <c r="L142" t="s">
        <v>18</v>
      </c>
      <c r="M142">
        <v>20.695361618383</v>
      </c>
      <c r="N142">
        <v>84.750114612874697</v>
      </c>
      <c r="O142" t="s">
        <v>18</v>
      </c>
      <c r="P142">
        <v>22.505469999999999</v>
      </c>
      <c r="Q142">
        <v>15.170909999999999</v>
      </c>
      <c r="R142">
        <v>10222989350</v>
      </c>
      <c r="S142">
        <v>29.1662</v>
      </c>
      <c r="T142">
        <v>117275000000</v>
      </c>
    </row>
    <row r="143" spans="1:20" x14ac:dyDescent="0.2">
      <c r="A143" t="s">
        <v>101</v>
      </c>
      <c r="B143" t="s">
        <v>31</v>
      </c>
      <c r="C143">
        <v>2013</v>
      </c>
      <c r="D143">
        <v>171831000000</v>
      </c>
      <c r="E143">
        <v>42139618790</v>
      </c>
      <c r="F143">
        <v>63724000000</v>
      </c>
      <c r="G143">
        <v>9726000000</v>
      </c>
      <c r="H143">
        <v>35775000000</v>
      </c>
      <c r="I143" t="s">
        <v>18</v>
      </c>
      <c r="J143">
        <v>31482441897.66</v>
      </c>
      <c r="K143">
        <v>1442000000</v>
      </c>
      <c r="L143" t="s">
        <v>18</v>
      </c>
      <c r="M143">
        <v>6.4507490263698202</v>
      </c>
      <c r="N143">
        <v>81.242189592161495</v>
      </c>
      <c r="O143" t="s">
        <v>18</v>
      </c>
      <c r="P143">
        <v>22.492750000000001</v>
      </c>
      <c r="Q143">
        <v>12.28421</v>
      </c>
      <c r="R143">
        <v>9775011290</v>
      </c>
      <c r="S143">
        <v>29.002199999999998</v>
      </c>
      <c r="T143">
        <v>115802000000</v>
      </c>
    </row>
    <row r="144" spans="1:20" x14ac:dyDescent="0.2">
      <c r="A144" t="s">
        <v>101</v>
      </c>
      <c r="B144" t="s">
        <v>31</v>
      </c>
      <c r="C144">
        <v>2014</v>
      </c>
      <c r="D144">
        <v>163865000000</v>
      </c>
      <c r="E144">
        <v>39779864140</v>
      </c>
      <c r="F144">
        <v>58047000000</v>
      </c>
      <c r="G144">
        <v>7873000000</v>
      </c>
      <c r="H144">
        <v>35941000000</v>
      </c>
      <c r="I144">
        <v>2.5627823281187401</v>
      </c>
      <c r="J144">
        <v>36071280501.620003</v>
      </c>
      <c r="K144">
        <v>4780000000</v>
      </c>
      <c r="L144">
        <v>0.47681630075596199</v>
      </c>
      <c r="M144">
        <v>-4.3537629604819097</v>
      </c>
      <c r="N144">
        <v>85.644239725204699</v>
      </c>
      <c r="O144">
        <v>0.118341308411215</v>
      </c>
      <c r="P144">
        <v>20.49531</v>
      </c>
      <c r="Q144">
        <v>13.43418</v>
      </c>
      <c r="R144">
        <v>9336465400</v>
      </c>
      <c r="S144">
        <v>33.444699999999997</v>
      </c>
      <c r="T144">
        <v>110879000000</v>
      </c>
    </row>
    <row r="145" spans="1:20" x14ac:dyDescent="0.2">
      <c r="A145" t="s">
        <v>101</v>
      </c>
      <c r="B145" t="s">
        <v>31</v>
      </c>
      <c r="C145">
        <v>2015</v>
      </c>
      <c r="D145">
        <v>166634000000</v>
      </c>
      <c r="E145">
        <v>39477086910</v>
      </c>
      <c r="F145">
        <v>57808000000</v>
      </c>
      <c r="G145">
        <v>13088000000</v>
      </c>
      <c r="H145">
        <v>31506000000</v>
      </c>
      <c r="I145">
        <v>2.6119013157390198</v>
      </c>
      <c r="J145">
        <v>39080354996.019997</v>
      </c>
      <c r="K145">
        <v>772000000</v>
      </c>
      <c r="L145">
        <v>-2.1840472047548398</v>
      </c>
      <c r="M145">
        <v>-0.86926743348974</v>
      </c>
      <c r="N145">
        <v>87.844104078394594</v>
      </c>
      <c r="O145">
        <v>22.226070420195999</v>
      </c>
      <c r="P145">
        <v>16.403009999999998</v>
      </c>
      <c r="Q145">
        <v>9.3388600000000004</v>
      </c>
      <c r="R145">
        <v>8938099080</v>
      </c>
      <c r="S145">
        <v>30.580500000000001</v>
      </c>
      <c r="T145">
        <v>108953000000</v>
      </c>
    </row>
    <row r="146" spans="1:20" x14ac:dyDescent="0.2">
      <c r="A146" t="s">
        <v>101</v>
      </c>
      <c r="B146" t="s">
        <v>31</v>
      </c>
      <c r="C146">
        <v>2016</v>
      </c>
      <c r="D146">
        <v>161179000000</v>
      </c>
      <c r="E146">
        <v>38036365220</v>
      </c>
      <c r="F146">
        <v>53515000000</v>
      </c>
      <c r="G146">
        <v>10639000000</v>
      </c>
      <c r="H146">
        <v>32376000000</v>
      </c>
      <c r="I146">
        <v>2.49605752215877</v>
      </c>
      <c r="J146">
        <v>38491050275.556</v>
      </c>
      <c r="K146">
        <v>3372000000</v>
      </c>
      <c r="L146">
        <v>1.35648257306759</v>
      </c>
      <c r="M146">
        <v>1.5512325049806599</v>
      </c>
      <c r="N146">
        <v>90.012458655838302</v>
      </c>
      <c r="O146">
        <v>8.8784460000000003</v>
      </c>
      <c r="P146">
        <v>18.194759999999999</v>
      </c>
      <c r="Q146">
        <v>11.648149999999999</v>
      </c>
      <c r="R146">
        <v>9294912670</v>
      </c>
      <c r="S146">
        <v>28.0228</v>
      </c>
      <c r="T146">
        <v>105266000000</v>
      </c>
    </row>
    <row r="147" spans="1:20" x14ac:dyDescent="0.2">
      <c r="A147" t="s">
        <v>101</v>
      </c>
      <c r="B147" t="s">
        <v>31</v>
      </c>
      <c r="C147">
        <v>2017</v>
      </c>
      <c r="D147">
        <v>155596000000</v>
      </c>
      <c r="E147">
        <v>38525201820</v>
      </c>
      <c r="F147">
        <v>51837000000</v>
      </c>
      <c r="G147">
        <v>8290000000</v>
      </c>
      <c r="H147">
        <v>34803000000</v>
      </c>
      <c r="I147">
        <v>2.4857818656602202</v>
      </c>
      <c r="J147">
        <v>54595071310.019997</v>
      </c>
      <c r="K147">
        <v>3787000000</v>
      </c>
      <c r="L147">
        <v>1.7862779237319799</v>
      </c>
      <c r="M147">
        <v>3.1034485425173202</v>
      </c>
      <c r="N147">
        <v>91.033324589285101</v>
      </c>
      <c r="O147">
        <v>-9.0737870568941599</v>
      </c>
      <c r="P147">
        <v>20.835519999999999</v>
      </c>
      <c r="Q147">
        <v>13.71203</v>
      </c>
      <c r="R147">
        <v>9715550090</v>
      </c>
      <c r="S147">
        <v>14.3041</v>
      </c>
      <c r="T147">
        <v>104412000000</v>
      </c>
    </row>
    <row r="148" spans="1:20" x14ac:dyDescent="0.2">
      <c r="A148" t="s">
        <v>101</v>
      </c>
      <c r="B148" t="s">
        <v>31</v>
      </c>
      <c r="C148">
        <v>2018</v>
      </c>
      <c r="D148">
        <v>155641000000</v>
      </c>
      <c r="E148">
        <v>40838356940</v>
      </c>
      <c r="F148">
        <v>52027000000</v>
      </c>
      <c r="G148">
        <v>7021000000</v>
      </c>
      <c r="H148">
        <v>34795000000</v>
      </c>
      <c r="I148">
        <v>2.59659674030092</v>
      </c>
      <c r="J148">
        <v>48698396941.339996</v>
      </c>
      <c r="K148">
        <v>5329000000</v>
      </c>
      <c r="L148">
        <v>3.16374427082896</v>
      </c>
      <c r="M148">
        <v>3.5200579486339301</v>
      </c>
      <c r="N148">
        <v>88.989436255174198</v>
      </c>
      <c r="O148">
        <v>-12.033386280738901</v>
      </c>
      <c r="P148">
        <v>19.369980000000002</v>
      </c>
      <c r="Q148">
        <v>12.574310000000001</v>
      </c>
      <c r="R148">
        <v>10273691900</v>
      </c>
      <c r="S148">
        <v>12.083</v>
      </c>
      <c r="T148">
        <v>104188000000</v>
      </c>
    </row>
    <row r="149" spans="1:20" x14ac:dyDescent="0.2">
      <c r="A149" t="s">
        <v>101</v>
      </c>
      <c r="B149" t="s">
        <v>31</v>
      </c>
      <c r="C149">
        <v>2019</v>
      </c>
      <c r="D149">
        <v>165424000000</v>
      </c>
      <c r="E149">
        <v>45536833600</v>
      </c>
      <c r="F149">
        <v>56621000000</v>
      </c>
      <c r="G149">
        <v>6630000000</v>
      </c>
      <c r="H149">
        <v>31720000000</v>
      </c>
      <c r="I149">
        <v>2.5854344741089701</v>
      </c>
      <c r="J149">
        <v>69702757709.776001</v>
      </c>
      <c r="K149">
        <v>6350000000</v>
      </c>
      <c r="L149">
        <v>2.6630930002554898</v>
      </c>
      <c r="M149">
        <v>6.8824698602657497</v>
      </c>
      <c r="N149">
        <v>89.6351528313199</v>
      </c>
      <c r="O149">
        <v>16.6961455382007</v>
      </c>
      <c r="P149">
        <v>19.755739999999999</v>
      </c>
      <c r="Q149">
        <v>12.626480000000001</v>
      </c>
      <c r="R149">
        <v>10135717440</v>
      </c>
      <c r="S149">
        <v>11.4877</v>
      </c>
      <c r="T149">
        <v>104473000000</v>
      </c>
    </row>
    <row r="150" spans="1:20" x14ac:dyDescent="0.2">
      <c r="A150" t="s">
        <v>101</v>
      </c>
      <c r="B150" t="s">
        <v>31</v>
      </c>
      <c r="C150">
        <v>2020</v>
      </c>
      <c r="D150">
        <v>171426000000</v>
      </c>
      <c r="E150">
        <v>48651788590</v>
      </c>
      <c r="F150">
        <v>61500000000</v>
      </c>
      <c r="G150">
        <v>9029000000</v>
      </c>
      <c r="H150">
        <v>30377000000</v>
      </c>
      <c r="I150">
        <v>2.7405875195465299</v>
      </c>
      <c r="J150">
        <v>84586777150.720001</v>
      </c>
      <c r="K150">
        <v>3476000000</v>
      </c>
      <c r="L150">
        <v>3.9381320129736799</v>
      </c>
      <c r="M150">
        <v>6.6804633303020804</v>
      </c>
      <c r="N150">
        <v>87.994412763468404</v>
      </c>
      <c r="O150">
        <v>4.4622767037477002</v>
      </c>
      <c r="P150">
        <v>21.94116</v>
      </c>
      <c r="Q150">
        <v>14.496029999999999</v>
      </c>
      <c r="R150">
        <v>11023603150</v>
      </c>
      <c r="S150">
        <v>11.434699999999999</v>
      </c>
      <c r="T150">
        <v>108438000000</v>
      </c>
    </row>
    <row r="151" spans="1:20" x14ac:dyDescent="0.2">
      <c r="A151" t="s">
        <v>101</v>
      </c>
      <c r="B151" t="s">
        <v>31</v>
      </c>
      <c r="C151">
        <v>2021</v>
      </c>
      <c r="D151">
        <v>163453000000</v>
      </c>
      <c r="E151">
        <v>53267414410</v>
      </c>
      <c r="F151">
        <v>59032000000</v>
      </c>
      <c r="G151">
        <v>5906000000</v>
      </c>
      <c r="H151">
        <v>28325000000</v>
      </c>
      <c r="I151">
        <v>2.9699182712840599</v>
      </c>
      <c r="J151">
        <v>68675923035.230003</v>
      </c>
      <c r="K151">
        <v>3622000000</v>
      </c>
      <c r="L151">
        <v>4.4505706691953204</v>
      </c>
      <c r="M151">
        <v>4.2288040033454699</v>
      </c>
      <c r="N151">
        <v>90.886420638605401</v>
      </c>
      <c r="O151">
        <v>47.905124729892002</v>
      </c>
      <c r="P151">
        <v>26.139970000000002</v>
      </c>
      <c r="Q151">
        <v>17.725719999999999</v>
      </c>
      <c r="R151">
        <v>11464034300</v>
      </c>
      <c r="S151">
        <v>14.269399999999999</v>
      </c>
      <c r="T151">
        <v>101389000000</v>
      </c>
    </row>
    <row r="152" spans="1:20" x14ac:dyDescent="0.2">
      <c r="A152" t="s">
        <v>101</v>
      </c>
      <c r="B152" t="s">
        <v>31</v>
      </c>
      <c r="C152">
        <v>2022</v>
      </c>
      <c r="D152">
        <v>206940000000</v>
      </c>
      <c r="E152">
        <v>63630978440</v>
      </c>
      <c r="F152">
        <v>71837000000</v>
      </c>
      <c r="G152">
        <v>8858000000</v>
      </c>
      <c r="H152">
        <v>29653000000</v>
      </c>
      <c r="I152">
        <v>3.3405382323051298</v>
      </c>
      <c r="J152">
        <v>53375069716.5</v>
      </c>
      <c r="K152">
        <v>3758000000</v>
      </c>
      <c r="L152">
        <v>-1.3176529424994801</v>
      </c>
      <c r="M152">
        <v>6.6519949184855598</v>
      </c>
      <c r="N152">
        <v>90.512573186071293</v>
      </c>
      <c r="O152">
        <v>22.373804931247001</v>
      </c>
      <c r="P152">
        <v>3.2820499999999999</v>
      </c>
      <c r="Q152">
        <v>-3.5421200000000002</v>
      </c>
      <c r="R152">
        <v>11625971950</v>
      </c>
      <c r="S152">
        <v>13.2525</v>
      </c>
      <c r="T152">
        <v>114179000000</v>
      </c>
    </row>
    <row r="153" spans="1:20" x14ac:dyDescent="0.2">
      <c r="A153" t="s">
        <v>101</v>
      </c>
      <c r="B153" t="s">
        <v>31</v>
      </c>
      <c r="C153">
        <v>2023</v>
      </c>
      <c r="D153">
        <v>219874000000</v>
      </c>
      <c r="E153">
        <v>61374326200</v>
      </c>
      <c r="F153">
        <v>89418000000</v>
      </c>
      <c r="G153">
        <v>11041000000</v>
      </c>
      <c r="H153">
        <v>23088000000</v>
      </c>
      <c r="I153">
        <v>3.0269099729247202</v>
      </c>
      <c r="J153">
        <v>66154586408.622002</v>
      </c>
      <c r="K153">
        <v>5154000000</v>
      </c>
      <c r="L153">
        <v>4.2707151899154203</v>
      </c>
      <c r="M153">
        <v>9.2740780109326106</v>
      </c>
      <c r="N153">
        <v>85.530665250976199</v>
      </c>
      <c r="O153">
        <v>8.8893028986791993</v>
      </c>
      <c r="P153">
        <v>9.6474100000000007</v>
      </c>
      <c r="Q153">
        <v>5.1624400000000001</v>
      </c>
      <c r="R153">
        <v>13724306680</v>
      </c>
      <c r="S153">
        <v>8.8739000000000008</v>
      </c>
      <c r="T153">
        <v>131498000000</v>
      </c>
    </row>
    <row r="154" spans="1:20" x14ac:dyDescent="0.2">
      <c r="A154" t="s">
        <v>101</v>
      </c>
      <c r="B154" t="s">
        <v>31</v>
      </c>
      <c r="C154">
        <v>2024</v>
      </c>
      <c r="D154">
        <v>195224000000</v>
      </c>
      <c r="E154">
        <v>55998932600</v>
      </c>
      <c r="F154">
        <v>74940000000</v>
      </c>
      <c r="G154">
        <v>6801000000</v>
      </c>
      <c r="H154">
        <v>25202000000</v>
      </c>
      <c r="I154">
        <v>2.4318130184759399</v>
      </c>
      <c r="J154">
        <v>69235090432.259995</v>
      </c>
      <c r="K154">
        <v>4638000000</v>
      </c>
      <c r="L154">
        <v>1.4227265996345899</v>
      </c>
      <c r="M154">
        <v>9.1036001766397092</v>
      </c>
      <c r="N154">
        <v>78.936694097758405</v>
      </c>
      <c r="O154">
        <v>-15.485981727137</v>
      </c>
      <c r="P154">
        <v>25.956589999999998</v>
      </c>
      <c r="Q154">
        <v>19.231929999999998</v>
      </c>
      <c r="R154">
        <v>15160726260</v>
      </c>
      <c r="S154">
        <v>15.6434</v>
      </c>
      <c r="T154">
        <v>120049000000</v>
      </c>
    </row>
    <row r="155" spans="1:20" x14ac:dyDescent="0.2">
      <c r="A155" t="s">
        <v>101</v>
      </c>
      <c r="B155" t="s">
        <v>31</v>
      </c>
      <c r="C155">
        <v>2025</v>
      </c>
      <c r="D155">
        <v>187139000000</v>
      </c>
      <c r="E155">
        <v>51045799210</v>
      </c>
      <c r="F155">
        <v>71084000000</v>
      </c>
      <c r="G155">
        <v>8051000000</v>
      </c>
      <c r="H155">
        <v>26586000000</v>
      </c>
      <c r="I155">
        <v>2.1824534526020201</v>
      </c>
      <c r="J155">
        <v>90574951638.914001</v>
      </c>
      <c r="K155">
        <v>8229000000</v>
      </c>
      <c r="L155">
        <v>1.57681861826182</v>
      </c>
      <c r="M155">
        <v>1.8866315227286301</v>
      </c>
      <c r="N155">
        <v>75.1618291068784</v>
      </c>
      <c r="O155">
        <v>9.6811559735751906</v>
      </c>
      <c r="P155">
        <v>24.686800000000002</v>
      </c>
      <c r="Q155">
        <v>15.710150000000001</v>
      </c>
      <c r="R155">
        <v>14869879300</v>
      </c>
      <c r="S155">
        <v>14.473100000000001</v>
      </c>
      <c r="T155">
        <v>120255000000</v>
      </c>
    </row>
    <row r="156" spans="1:20" x14ac:dyDescent="0.2">
      <c r="A156" t="s">
        <v>123</v>
      </c>
      <c r="B156" t="s">
        <v>32</v>
      </c>
      <c r="C156">
        <v>2004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 t="s">
        <v>18</v>
      </c>
    </row>
    <row r="157" spans="1:20" x14ac:dyDescent="0.2">
      <c r="A157" t="s">
        <v>123</v>
      </c>
      <c r="B157" t="s">
        <v>32</v>
      </c>
      <c r="C157">
        <v>2005</v>
      </c>
      <c r="D157" t="s">
        <v>18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</row>
    <row r="158" spans="1:20" x14ac:dyDescent="0.2">
      <c r="A158" t="s">
        <v>123</v>
      </c>
      <c r="B158" t="s">
        <v>32</v>
      </c>
      <c r="C158">
        <v>2006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 t="s">
        <v>18</v>
      </c>
    </row>
    <row r="159" spans="1:20" x14ac:dyDescent="0.2">
      <c r="A159" t="s">
        <v>123</v>
      </c>
      <c r="B159" t="s">
        <v>32</v>
      </c>
      <c r="C159">
        <v>2007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 t="s">
        <v>18</v>
      </c>
    </row>
    <row r="160" spans="1:20" x14ac:dyDescent="0.2">
      <c r="A160" t="s">
        <v>123</v>
      </c>
      <c r="B160" t="s">
        <v>32</v>
      </c>
      <c r="C160">
        <v>2008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</row>
    <row r="161" spans="1:20" x14ac:dyDescent="0.2">
      <c r="A161" t="s">
        <v>123</v>
      </c>
      <c r="B161" t="s">
        <v>32</v>
      </c>
      <c r="C161">
        <v>2009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</row>
    <row r="162" spans="1:20" x14ac:dyDescent="0.2">
      <c r="A162" t="s">
        <v>123</v>
      </c>
      <c r="B162" t="s">
        <v>32</v>
      </c>
      <c r="C162">
        <v>2010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</row>
    <row r="163" spans="1:20" x14ac:dyDescent="0.2">
      <c r="A163" t="s">
        <v>123</v>
      </c>
      <c r="B163" t="s">
        <v>32</v>
      </c>
      <c r="C163">
        <v>2011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</row>
    <row r="164" spans="1:20" x14ac:dyDescent="0.2">
      <c r="A164" t="s">
        <v>123</v>
      </c>
      <c r="B164" t="s">
        <v>32</v>
      </c>
      <c r="C164">
        <v>2012</v>
      </c>
      <c r="D164" t="s">
        <v>18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</row>
    <row r="165" spans="1:20" x14ac:dyDescent="0.2">
      <c r="A165" t="s">
        <v>123</v>
      </c>
      <c r="B165" t="s">
        <v>32</v>
      </c>
      <c r="C165">
        <v>2013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 t="s">
        <v>18</v>
      </c>
    </row>
    <row r="166" spans="1:20" x14ac:dyDescent="0.2">
      <c r="A166" t="s">
        <v>123</v>
      </c>
      <c r="B166" t="s">
        <v>32</v>
      </c>
      <c r="C166">
        <v>2014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</row>
    <row r="167" spans="1:20" x14ac:dyDescent="0.2">
      <c r="A167" t="s">
        <v>123</v>
      </c>
      <c r="B167" t="s">
        <v>32</v>
      </c>
      <c r="C167">
        <v>2015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</row>
    <row r="168" spans="1:20" x14ac:dyDescent="0.2">
      <c r="A168" t="s">
        <v>123</v>
      </c>
      <c r="B168" t="s">
        <v>32</v>
      </c>
      <c r="C168">
        <v>2016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</row>
    <row r="169" spans="1:20" x14ac:dyDescent="0.2">
      <c r="A169" t="s">
        <v>123</v>
      </c>
      <c r="B169" t="s">
        <v>32</v>
      </c>
      <c r="C169">
        <v>2017</v>
      </c>
      <c r="D169">
        <v>47290000000</v>
      </c>
      <c r="E169" t="s">
        <v>18</v>
      </c>
      <c r="F169">
        <v>1324000000</v>
      </c>
      <c r="G169">
        <v>1850000000</v>
      </c>
      <c r="H169">
        <v>10123000000</v>
      </c>
      <c r="I169" t="s">
        <v>18</v>
      </c>
      <c r="J169" t="s">
        <v>18</v>
      </c>
      <c r="K169">
        <v>960000000</v>
      </c>
      <c r="L169" t="s">
        <v>18</v>
      </c>
      <c r="M169" t="s">
        <v>18</v>
      </c>
      <c r="N169" t="s">
        <v>18</v>
      </c>
      <c r="O169" t="s">
        <v>18</v>
      </c>
      <c r="P169">
        <v>9.0075099999999999</v>
      </c>
      <c r="Q169">
        <v>5.2183700000000002</v>
      </c>
      <c r="R169" t="s">
        <v>18</v>
      </c>
      <c r="S169" t="s">
        <v>18</v>
      </c>
      <c r="T169">
        <v>12642000000</v>
      </c>
    </row>
    <row r="170" spans="1:20" x14ac:dyDescent="0.2">
      <c r="A170" t="s">
        <v>123</v>
      </c>
      <c r="B170" t="s">
        <v>32</v>
      </c>
      <c r="C170">
        <v>2018</v>
      </c>
      <c r="D170">
        <v>45763000000</v>
      </c>
      <c r="E170" t="s">
        <v>18</v>
      </c>
      <c r="F170">
        <v>1877000000</v>
      </c>
      <c r="G170">
        <v>2544000000</v>
      </c>
      <c r="H170">
        <v>9499000000</v>
      </c>
      <c r="I170" t="s">
        <v>18</v>
      </c>
      <c r="J170" t="s">
        <v>18</v>
      </c>
      <c r="K170">
        <v>644000000</v>
      </c>
      <c r="L170" t="s">
        <v>18</v>
      </c>
      <c r="M170" t="s">
        <v>18</v>
      </c>
      <c r="N170" t="s">
        <v>18</v>
      </c>
      <c r="O170" t="s">
        <v>18</v>
      </c>
      <c r="P170">
        <v>8.1647200000000009</v>
      </c>
      <c r="Q170">
        <v>3.59348</v>
      </c>
      <c r="R170" t="s">
        <v>18</v>
      </c>
      <c r="S170" t="s">
        <v>18</v>
      </c>
      <c r="T170">
        <v>12578000000</v>
      </c>
    </row>
    <row r="171" spans="1:20" x14ac:dyDescent="0.2">
      <c r="A171" t="s">
        <v>123</v>
      </c>
      <c r="B171" t="s">
        <v>32</v>
      </c>
      <c r="C171">
        <v>2019</v>
      </c>
      <c r="D171">
        <v>45763000000</v>
      </c>
      <c r="E171" t="s">
        <v>18</v>
      </c>
      <c r="F171">
        <v>1877000000</v>
      </c>
      <c r="G171">
        <v>2544000000</v>
      </c>
      <c r="H171">
        <v>9499000000</v>
      </c>
      <c r="I171" t="s">
        <v>18</v>
      </c>
      <c r="J171" t="s">
        <v>18</v>
      </c>
      <c r="K171">
        <v>644000000</v>
      </c>
      <c r="L171" t="s">
        <v>18</v>
      </c>
      <c r="M171" t="s">
        <v>18</v>
      </c>
      <c r="N171" t="s">
        <v>18</v>
      </c>
      <c r="O171" t="s">
        <v>18</v>
      </c>
      <c r="P171">
        <v>8.1647200000000009</v>
      </c>
      <c r="Q171">
        <v>3.59348</v>
      </c>
      <c r="R171" t="s">
        <v>18</v>
      </c>
      <c r="S171" t="s">
        <v>18</v>
      </c>
      <c r="T171">
        <v>12578000000</v>
      </c>
    </row>
    <row r="172" spans="1:20" x14ac:dyDescent="0.2">
      <c r="A172" t="s">
        <v>123</v>
      </c>
      <c r="B172" t="s">
        <v>32</v>
      </c>
      <c r="C172">
        <v>2020</v>
      </c>
      <c r="D172">
        <v>45041000000</v>
      </c>
      <c r="E172">
        <v>-2545934910</v>
      </c>
      <c r="F172">
        <v>906000000</v>
      </c>
      <c r="G172">
        <v>1871000000</v>
      </c>
      <c r="H172">
        <v>11856000000</v>
      </c>
      <c r="I172">
        <v>-1.44529068224359</v>
      </c>
      <c r="J172">
        <v>18166129825</v>
      </c>
      <c r="K172">
        <v>282000000</v>
      </c>
      <c r="L172">
        <v>3.5772801649360599</v>
      </c>
      <c r="M172" t="s">
        <v>18</v>
      </c>
      <c r="N172" t="s">
        <v>18</v>
      </c>
      <c r="O172">
        <v>3.3342804746494101</v>
      </c>
      <c r="P172">
        <v>7.4591099999999999</v>
      </c>
      <c r="Q172">
        <v>3.2607599999999999</v>
      </c>
      <c r="R172">
        <v>592724500</v>
      </c>
      <c r="S172">
        <v>34.533999999999999</v>
      </c>
      <c r="T172">
        <v>13995000000</v>
      </c>
    </row>
    <row r="173" spans="1:20" x14ac:dyDescent="0.2">
      <c r="A173" t="s">
        <v>123</v>
      </c>
      <c r="B173" t="s">
        <v>32</v>
      </c>
      <c r="C173">
        <v>2021</v>
      </c>
      <c r="D173">
        <v>44141000000</v>
      </c>
      <c r="E173">
        <v>-2921671390</v>
      </c>
      <c r="F173">
        <v>2728000000</v>
      </c>
      <c r="G173">
        <v>5333000000</v>
      </c>
      <c r="H173">
        <v>14958000000</v>
      </c>
      <c r="I173">
        <v>-1.66522020322036</v>
      </c>
      <c r="J173">
        <v>17199691718.310001</v>
      </c>
      <c r="K173">
        <v>-560000000</v>
      </c>
      <c r="L173">
        <v>3.8467289274859802</v>
      </c>
      <c r="M173" t="s">
        <v>18</v>
      </c>
      <c r="N173">
        <v>78.093120851781904</v>
      </c>
      <c r="O173">
        <v>4.1906656534954401</v>
      </c>
      <c r="P173">
        <v>6.0599699999999999</v>
      </c>
      <c r="Q173">
        <v>0.92339000000000004</v>
      </c>
      <c r="R173">
        <v>875218710</v>
      </c>
      <c r="S173">
        <v>48.632800000000003</v>
      </c>
      <c r="T173">
        <v>17948000000</v>
      </c>
    </row>
    <row r="174" spans="1:20" x14ac:dyDescent="0.2">
      <c r="A174" t="s">
        <v>123</v>
      </c>
      <c r="B174" t="s">
        <v>32</v>
      </c>
      <c r="C174">
        <v>2022</v>
      </c>
      <c r="D174">
        <v>51084000000</v>
      </c>
      <c r="E174">
        <v>-2775907000</v>
      </c>
      <c r="F174">
        <v>3223000000</v>
      </c>
      <c r="G174">
        <v>5959000000</v>
      </c>
      <c r="H174">
        <v>17122000000</v>
      </c>
      <c r="I174">
        <v>-1.3469146923148301</v>
      </c>
      <c r="J174">
        <v>11611790184.139999</v>
      </c>
      <c r="K174">
        <v>-711000000</v>
      </c>
      <c r="L174">
        <v>4.04134364123711</v>
      </c>
      <c r="M174">
        <v>7.4711670144444602</v>
      </c>
      <c r="N174">
        <v>73.736524441552703</v>
      </c>
      <c r="O174">
        <v>-5.2704304235090804</v>
      </c>
      <c r="P174">
        <v>4.7164299999999999</v>
      </c>
      <c r="Q174">
        <v>-0.91364000000000001</v>
      </c>
      <c r="R174">
        <v>677319530</v>
      </c>
      <c r="S174">
        <v>47.070399999999999</v>
      </c>
      <c r="T174">
        <v>20341000000</v>
      </c>
    </row>
    <row r="175" spans="1:20" x14ac:dyDescent="0.2">
      <c r="A175" t="s">
        <v>123</v>
      </c>
      <c r="B175" t="s">
        <v>32</v>
      </c>
      <c r="C175">
        <v>2023</v>
      </c>
      <c r="D175">
        <v>47907000000</v>
      </c>
      <c r="E175">
        <v>1736671430</v>
      </c>
      <c r="F175">
        <v>4781000000</v>
      </c>
      <c r="G175">
        <v>4588000000</v>
      </c>
      <c r="H175">
        <v>8502000000</v>
      </c>
      <c r="I175">
        <v>1.1954890314626201</v>
      </c>
      <c r="J175">
        <v>9060175585.5200005</v>
      </c>
      <c r="K175">
        <v>-4589000000</v>
      </c>
      <c r="L175">
        <v>5.3461692819186597</v>
      </c>
      <c r="M175">
        <v>9.9565238453904499</v>
      </c>
      <c r="N175">
        <v>78.084930882807498</v>
      </c>
      <c r="O175">
        <v>28.730251628664501</v>
      </c>
      <c r="P175">
        <v>-5.2765199999999997</v>
      </c>
      <c r="Q175">
        <v>-10.14171</v>
      </c>
      <c r="R175">
        <v>183351950</v>
      </c>
      <c r="S175">
        <v>43.338299999999997</v>
      </c>
      <c r="T175">
        <v>13568000000</v>
      </c>
    </row>
    <row r="176" spans="1:20" x14ac:dyDescent="0.2">
      <c r="A176" t="s">
        <v>123</v>
      </c>
      <c r="B176" t="s">
        <v>32</v>
      </c>
      <c r="C176">
        <v>2024</v>
      </c>
      <c r="D176">
        <v>50874000000</v>
      </c>
      <c r="E176">
        <v>-2410069460</v>
      </c>
      <c r="F176">
        <v>3766000000</v>
      </c>
      <c r="G176">
        <v>6363000000</v>
      </c>
      <c r="H176">
        <v>9075000000</v>
      </c>
      <c r="I176">
        <v>-0.81805167727370798</v>
      </c>
      <c r="J176">
        <v>40780781506.239998</v>
      </c>
      <c r="K176">
        <v>1335000000</v>
      </c>
      <c r="L176">
        <v>9.6696197271014199</v>
      </c>
      <c r="M176">
        <v>13.103101509738501</v>
      </c>
      <c r="N176">
        <v>77.126110519355393</v>
      </c>
      <c r="O176">
        <v>25.261516512549498</v>
      </c>
      <c r="P176">
        <v>-1.7786200000000001</v>
      </c>
      <c r="Q176">
        <v>-6.1627700000000001</v>
      </c>
      <c r="R176">
        <v>1271756000</v>
      </c>
      <c r="S176">
        <v>43.1997</v>
      </c>
      <c r="T176">
        <v>13130000000</v>
      </c>
    </row>
    <row r="177" spans="1:20" x14ac:dyDescent="0.2">
      <c r="A177" t="s">
        <v>123</v>
      </c>
      <c r="B177" t="s">
        <v>32</v>
      </c>
      <c r="C177">
        <v>2025</v>
      </c>
      <c r="D177">
        <v>56637000000</v>
      </c>
      <c r="E177">
        <v>-6476837800</v>
      </c>
      <c r="F177">
        <v>3966000000</v>
      </c>
      <c r="G177">
        <v>9162000000</v>
      </c>
      <c r="H177">
        <v>10300000000</v>
      </c>
      <c r="I177">
        <v>-1.16943424052856</v>
      </c>
      <c r="J177">
        <v>96917358070.699997</v>
      </c>
      <c r="K177">
        <v>1686000000</v>
      </c>
      <c r="L177">
        <v>12.194030473091701</v>
      </c>
      <c r="M177">
        <v>13.211750469907299</v>
      </c>
      <c r="N177">
        <v>72.767521239639606</v>
      </c>
      <c r="O177">
        <v>18.590547563805099</v>
      </c>
      <c r="P177">
        <v>8.5548999999999999</v>
      </c>
      <c r="Q177">
        <v>3.9972400000000001</v>
      </c>
      <c r="R177">
        <v>4026686700</v>
      </c>
      <c r="S177">
        <v>41.217100000000002</v>
      </c>
      <c r="T177">
        <v>14641000000</v>
      </c>
    </row>
    <row r="178" spans="1:20" x14ac:dyDescent="0.2">
      <c r="A178" t="s">
        <v>103</v>
      </c>
      <c r="B178" t="s">
        <v>33</v>
      </c>
      <c r="C178">
        <v>2004</v>
      </c>
      <c r="D178" t="s">
        <v>18</v>
      </c>
      <c r="E178">
        <v>8480043230</v>
      </c>
      <c r="F178" t="s">
        <v>18</v>
      </c>
      <c r="G178" t="s">
        <v>18</v>
      </c>
      <c r="H178" t="s">
        <v>18</v>
      </c>
      <c r="I178" t="s">
        <v>18</v>
      </c>
      <c r="J178">
        <v>37319367575.330299</v>
      </c>
      <c r="K178" t="s">
        <v>18</v>
      </c>
      <c r="L178" t="s">
        <v>18</v>
      </c>
      <c r="M178" t="s">
        <v>18</v>
      </c>
      <c r="N178">
        <v>28.447990053874801</v>
      </c>
      <c r="O178" t="s">
        <v>18</v>
      </c>
      <c r="P178" t="s">
        <v>18</v>
      </c>
      <c r="Q178" t="s">
        <v>18</v>
      </c>
      <c r="R178">
        <v>6951674500</v>
      </c>
      <c r="S178" t="s">
        <v>18</v>
      </c>
      <c r="T178" t="s">
        <v>18</v>
      </c>
    </row>
    <row r="179" spans="1:20" x14ac:dyDescent="0.2">
      <c r="A179" t="s">
        <v>103</v>
      </c>
      <c r="B179" t="s">
        <v>33</v>
      </c>
      <c r="C179">
        <v>2005</v>
      </c>
      <c r="D179" t="s">
        <v>18</v>
      </c>
      <c r="E179">
        <v>2737045000</v>
      </c>
      <c r="F179" t="s">
        <v>18</v>
      </c>
      <c r="G179" t="s">
        <v>18</v>
      </c>
      <c r="H179" t="s">
        <v>18</v>
      </c>
      <c r="I179" t="s">
        <v>18</v>
      </c>
      <c r="J179">
        <v>47556034163.986603</v>
      </c>
      <c r="K179" t="s">
        <v>18</v>
      </c>
      <c r="L179" t="s">
        <v>18</v>
      </c>
      <c r="M179" t="s">
        <v>18</v>
      </c>
      <c r="N179">
        <v>50.124349986554599</v>
      </c>
      <c r="O179" t="s">
        <v>18</v>
      </c>
      <c r="P179" t="s">
        <v>18</v>
      </c>
      <c r="Q179" t="s">
        <v>18</v>
      </c>
      <c r="R179">
        <v>7224425570</v>
      </c>
      <c r="S179" t="s">
        <v>18</v>
      </c>
      <c r="T179" t="s">
        <v>18</v>
      </c>
    </row>
    <row r="180" spans="1:20" x14ac:dyDescent="0.2">
      <c r="A180" t="s">
        <v>103</v>
      </c>
      <c r="B180" t="s">
        <v>33</v>
      </c>
      <c r="C180">
        <v>2006</v>
      </c>
      <c r="D180" t="s">
        <v>18</v>
      </c>
      <c r="E180">
        <v>2933910000</v>
      </c>
      <c r="F180" t="s">
        <v>18</v>
      </c>
      <c r="G180" t="s">
        <v>18</v>
      </c>
      <c r="H180" t="s">
        <v>18</v>
      </c>
      <c r="I180" t="s">
        <v>18</v>
      </c>
      <c r="J180">
        <v>57374253470.196098</v>
      </c>
      <c r="K180" t="s">
        <v>18</v>
      </c>
      <c r="L180" t="s">
        <v>18</v>
      </c>
      <c r="M180" t="s">
        <v>18</v>
      </c>
      <c r="N180">
        <v>46.928427543585002</v>
      </c>
      <c r="O180" t="s">
        <v>18</v>
      </c>
      <c r="P180" t="s">
        <v>18</v>
      </c>
      <c r="Q180" t="s">
        <v>18</v>
      </c>
      <c r="R180">
        <v>7501497430</v>
      </c>
      <c r="S180" t="s">
        <v>18</v>
      </c>
      <c r="T180" t="s">
        <v>18</v>
      </c>
    </row>
    <row r="181" spans="1:20" x14ac:dyDescent="0.2">
      <c r="A181" t="s">
        <v>103</v>
      </c>
      <c r="B181" t="s">
        <v>33</v>
      </c>
      <c r="C181">
        <v>2007</v>
      </c>
      <c r="D181">
        <v>127575000000</v>
      </c>
      <c r="E181">
        <v>8313805070</v>
      </c>
      <c r="F181">
        <v>13472000000</v>
      </c>
      <c r="G181">
        <v>1154000000</v>
      </c>
      <c r="H181">
        <v>48712000000</v>
      </c>
      <c r="I181" t="s">
        <v>18</v>
      </c>
      <c r="J181">
        <v>84568143052.058502</v>
      </c>
      <c r="K181">
        <v>5307000000</v>
      </c>
      <c r="L181" t="s">
        <v>18</v>
      </c>
      <c r="M181" t="s">
        <v>18</v>
      </c>
      <c r="N181">
        <v>56.829430412107499</v>
      </c>
      <c r="O181" t="s">
        <v>18</v>
      </c>
      <c r="P181">
        <v>14.45445</v>
      </c>
      <c r="Q181">
        <v>8.7282100000000007</v>
      </c>
      <c r="R181">
        <v>8882232250</v>
      </c>
      <c r="S181" t="s">
        <v>18</v>
      </c>
      <c r="T181">
        <v>64717000000</v>
      </c>
    </row>
    <row r="182" spans="1:20" x14ac:dyDescent="0.2">
      <c r="A182" t="s">
        <v>103</v>
      </c>
      <c r="B182" t="s">
        <v>33</v>
      </c>
      <c r="C182">
        <v>2008</v>
      </c>
      <c r="D182">
        <v>137294000000</v>
      </c>
      <c r="E182">
        <v>29162028350</v>
      </c>
      <c r="F182">
        <v>21464000000</v>
      </c>
      <c r="G182">
        <v>2887000000</v>
      </c>
      <c r="H182">
        <v>49374000000</v>
      </c>
      <c r="I182" t="s">
        <v>18</v>
      </c>
      <c r="J182">
        <v>43810570338</v>
      </c>
      <c r="K182">
        <v>5408000000</v>
      </c>
      <c r="L182" t="s">
        <v>18</v>
      </c>
      <c r="M182" t="s">
        <v>18</v>
      </c>
      <c r="N182">
        <v>53.629058130561297</v>
      </c>
      <c r="O182" t="s">
        <v>18</v>
      </c>
      <c r="P182">
        <v>18.18975</v>
      </c>
      <c r="Q182">
        <v>13.54265</v>
      </c>
      <c r="R182">
        <v>9773976190</v>
      </c>
      <c r="S182" t="s">
        <v>18</v>
      </c>
      <c r="T182">
        <v>76594000000</v>
      </c>
    </row>
    <row r="183" spans="1:20" x14ac:dyDescent="0.2">
      <c r="A183" t="s">
        <v>103</v>
      </c>
      <c r="B183" t="s">
        <v>33</v>
      </c>
      <c r="C183">
        <v>2009</v>
      </c>
      <c r="D183">
        <v>156824000000</v>
      </c>
      <c r="E183">
        <v>32819090040</v>
      </c>
      <c r="F183">
        <v>41273000000</v>
      </c>
      <c r="G183">
        <v>3671000000</v>
      </c>
      <c r="H183">
        <v>34484000000</v>
      </c>
      <c r="I183" t="s">
        <v>18</v>
      </c>
      <c r="J183">
        <v>47303479920</v>
      </c>
      <c r="K183">
        <v>1197000000</v>
      </c>
      <c r="L183" t="s">
        <v>18</v>
      </c>
      <c r="M183" t="s">
        <v>18</v>
      </c>
      <c r="N183">
        <v>67.636281546304502</v>
      </c>
      <c r="O183" t="s">
        <v>18</v>
      </c>
      <c r="P183">
        <v>11.62496</v>
      </c>
      <c r="Q183">
        <v>3.7266699999999999</v>
      </c>
      <c r="R183">
        <v>9799532760</v>
      </c>
      <c r="S183">
        <v>0</v>
      </c>
      <c r="T183">
        <v>79717000000</v>
      </c>
    </row>
    <row r="184" spans="1:20" x14ac:dyDescent="0.2">
      <c r="A184" t="s">
        <v>103</v>
      </c>
      <c r="B184" t="s">
        <v>33</v>
      </c>
      <c r="C184">
        <v>2010</v>
      </c>
      <c r="D184">
        <v>152614000000</v>
      </c>
      <c r="E184">
        <v>29800939640</v>
      </c>
      <c r="F184">
        <v>37978000000</v>
      </c>
      <c r="G184">
        <v>4210000000</v>
      </c>
      <c r="H184">
        <v>43986000000</v>
      </c>
      <c r="I184" t="s">
        <v>18</v>
      </c>
      <c r="J184">
        <v>39361058694</v>
      </c>
      <c r="K184">
        <v>8715000000</v>
      </c>
      <c r="L184" t="s">
        <v>18</v>
      </c>
      <c r="M184" t="s">
        <v>18</v>
      </c>
      <c r="N184">
        <v>66.956606174284502</v>
      </c>
      <c r="O184" t="s">
        <v>18</v>
      </c>
      <c r="P184">
        <v>15.048640000000001</v>
      </c>
      <c r="Q184">
        <v>10.28959</v>
      </c>
      <c r="R184">
        <v>9446162940</v>
      </c>
      <c r="S184">
        <v>0</v>
      </c>
      <c r="T184">
        <v>85571000000</v>
      </c>
    </row>
    <row r="185" spans="1:20" x14ac:dyDescent="0.2">
      <c r="A185" t="s">
        <v>103</v>
      </c>
      <c r="B185" t="s">
        <v>33</v>
      </c>
      <c r="C185">
        <v>2011</v>
      </c>
      <c r="D185">
        <v>152881000000</v>
      </c>
      <c r="E185">
        <v>20608584770</v>
      </c>
      <c r="F185">
        <v>32918000000</v>
      </c>
      <c r="G185">
        <v>6143000000</v>
      </c>
      <c r="H185">
        <v>45585000000</v>
      </c>
      <c r="I185" t="s">
        <v>18</v>
      </c>
      <c r="J185">
        <v>32199715812</v>
      </c>
      <c r="K185">
        <v>6186000000</v>
      </c>
      <c r="L185" t="s">
        <v>18</v>
      </c>
      <c r="M185" t="s">
        <v>18</v>
      </c>
      <c r="N185">
        <v>60.463283703868399</v>
      </c>
      <c r="O185" t="s">
        <v>18</v>
      </c>
      <c r="P185">
        <v>14.77768</v>
      </c>
      <c r="Q185">
        <v>7.8244300000000004</v>
      </c>
      <c r="R185">
        <v>5406775380</v>
      </c>
      <c r="S185">
        <v>6.8304999999999998</v>
      </c>
      <c r="T185">
        <v>82435000000</v>
      </c>
    </row>
    <row r="186" spans="1:20" x14ac:dyDescent="0.2">
      <c r="A186" t="s">
        <v>103</v>
      </c>
      <c r="B186" t="s">
        <v>33</v>
      </c>
      <c r="C186">
        <v>2012</v>
      </c>
      <c r="D186">
        <v>152872000000</v>
      </c>
      <c r="E186">
        <v>20450003220</v>
      </c>
      <c r="F186">
        <v>30630000000</v>
      </c>
      <c r="G186">
        <v>3852000000</v>
      </c>
      <c r="H186">
        <v>35737000000</v>
      </c>
      <c r="I186" t="s">
        <v>18</v>
      </c>
      <c r="J186">
        <v>24309950901</v>
      </c>
      <c r="K186">
        <v>-1875000000</v>
      </c>
      <c r="L186" t="s">
        <v>18</v>
      </c>
      <c r="M186">
        <v>8.7001670640449706</v>
      </c>
      <c r="N186">
        <v>75.287637567425094</v>
      </c>
      <c r="O186" t="s">
        <v>18</v>
      </c>
      <c r="P186">
        <v>16.593599999999999</v>
      </c>
      <c r="Q186">
        <v>10.40943</v>
      </c>
      <c r="R186">
        <v>6987471170</v>
      </c>
      <c r="S186">
        <v>5.6634000000000002</v>
      </c>
      <c r="T186">
        <v>70243000000</v>
      </c>
    </row>
    <row r="187" spans="1:20" x14ac:dyDescent="0.2">
      <c r="A187" t="s">
        <v>103</v>
      </c>
      <c r="B187" t="s">
        <v>33</v>
      </c>
      <c r="C187">
        <v>2013</v>
      </c>
      <c r="D187">
        <v>142285000000</v>
      </c>
      <c r="E187">
        <v>18234015490</v>
      </c>
      <c r="F187">
        <v>25386000000</v>
      </c>
      <c r="G187">
        <v>2816000000</v>
      </c>
      <c r="H187">
        <v>35262000000</v>
      </c>
      <c r="I187" t="s">
        <v>18</v>
      </c>
      <c r="J187">
        <v>24854072826</v>
      </c>
      <c r="K187">
        <v>2576000000</v>
      </c>
      <c r="L187" t="s">
        <v>18</v>
      </c>
      <c r="M187">
        <v>-1.60352881482779</v>
      </c>
      <c r="N187">
        <v>81.463824094243805</v>
      </c>
      <c r="O187" t="s">
        <v>18</v>
      </c>
      <c r="P187">
        <v>6.0548299999999999</v>
      </c>
      <c r="Q187">
        <v>3.3544499999999999</v>
      </c>
      <c r="R187">
        <v>5395163600</v>
      </c>
      <c r="S187">
        <v>4.3068</v>
      </c>
      <c r="T187">
        <v>64510000000</v>
      </c>
    </row>
    <row r="188" spans="1:20" x14ac:dyDescent="0.2">
      <c r="A188" t="s">
        <v>103</v>
      </c>
      <c r="B188" t="s">
        <v>33</v>
      </c>
      <c r="C188">
        <v>2014</v>
      </c>
      <c r="D188">
        <v>132330000000</v>
      </c>
      <c r="E188">
        <v>18925844220</v>
      </c>
      <c r="F188">
        <v>22724000000</v>
      </c>
      <c r="G188">
        <v>4527000000</v>
      </c>
      <c r="H188">
        <v>33723000000</v>
      </c>
      <c r="I188">
        <v>1.81787902709814</v>
      </c>
      <c r="J188">
        <v>26082734850</v>
      </c>
      <c r="K188">
        <v>2361000000</v>
      </c>
      <c r="L188">
        <v>-0.86856946295099102</v>
      </c>
      <c r="M188">
        <v>-13.0147304802531</v>
      </c>
      <c r="N188">
        <v>82.035039022489798</v>
      </c>
      <c r="O188">
        <v>-43.038336878555498</v>
      </c>
      <c r="P188">
        <v>6.4676499999999999</v>
      </c>
      <c r="Q188">
        <v>2.1188400000000001</v>
      </c>
      <c r="R188">
        <v>4709549330</v>
      </c>
      <c r="S188">
        <v>1.1365000000000001</v>
      </c>
      <c r="T188">
        <v>59362000000</v>
      </c>
    </row>
    <row r="189" spans="1:20" x14ac:dyDescent="0.2">
      <c r="A189" t="s">
        <v>103</v>
      </c>
      <c r="B189" t="s">
        <v>33</v>
      </c>
      <c r="C189">
        <v>2015</v>
      </c>
      <c r="D189">
        <v>125690000000</v>
      </c>
      <c r="E189">
        <v>9119244820</v>
      </c>
      <c r="F189">
        <v>19667000000</v>
      </c>
      <c r="G189">
        <v>3191000000</v>
      </c>
      <c r="H189">
        <v>24585000000</v>
      </c>
      <c r="I189">
        <v>0.68512528952651297</v>
      </c>
      <c r="J189">
        <v>15847982031</v>
      </c>
      <c r="K189">
        <v>-2968000000</v>
      </c>
      <c r="L189">
        <v>0.71779759994915004</v>
      </c>
      <c r="M189">
        <v>-12.585518707658499</v>
      </c>
      <c r="N189">
        <v>79.529202940153993</v>
      </c>
      <c r="O189">
        <v>-9.0483357536304396</v>
      </c>
      <c r="P189">
        <v>1.77108</v>
      </c>
      <c r="Q189">
        <v>-1.3944000000000001</v>
      </c>
      <c r="R189">
        <v>3840457750</v>
      </c>
      <c r="S189">
        <v>1.3006</v>
      </c>
      <c r="T189">
        <v>46380000000</v>
      </c>
    </row>
    <row r="190" spans="1:20" x14ac:dyDescent="0.2">
      <c r="A190" t="s">
        <v>103</v>
      </c>
      <c r="B190" t="s">
        <v>33</v>
      </c>
      <c r="C190">
        <v>2016</v>
      </c>
      <c r="D190">
        <v>113693000000</v>
      </c>
      <c r="E190">
        <v>5889037670</v>
      </c>
      <c r="F190">
        <v>17742000000</v>
      </c>
      <c r="G190">
        <v>5189000000</v>
      </c>
      <c r="H190">
        <v>16429000000</v>
      </c>
      <c r="I190">
        <v>1.3977099571568701</v>
      </c>
      <c r="J190">
        <v>12178086000</v>
      </c>
      <c r="K190">
        <v>-2220000000</v>
      </c>
      <c r="L190">
        <v>-1.6177233061562499</v>
      </c>
      <c r="M190">
        <v>-17.712827143716002</v>
      </c>
      <c r="N190">
        <v>78.353914062399497</v>
      </c>
      <c r="O190">
        <v>-27.7961653090561</v>
      </c>
      <c r="P190">
        <v>6.0437000000000003</v>
      </c>
      <c r="Q190">
        <v>-1.1862299999999999</v>
      </c>
      <c r="R190">
        <v>3000762350</v>
      </c>
      <c r="S190">
        <v>0.93149999999999999</v>
      </c>
      <c r="T190">
        <v>36819000000</v>
      </c>
    </row>
    <row r="191" spans="1:20" x14ac:dyDescent="0.2">
      <c r="A191" t="s">
        <v>103</v>
      </c>
      <c r="B191" t="s">
        <v>33</v>
      </c>
      <c r="C191">
        <v>2017</v>
      </c>
      <c r="D191">
        <v>63699000000</v>
      </c>
      <c r="E191">
        <v>21265598600</v>
      </c>
      <c r="F191">
        <v>14227000000</v>
      </c>
      <c r="G191">
        <v>5574000000</v>
      </c>
      <c r="H191">
        <v>-1055000000</v>
      </c>
      <c r="I191">
        <v>4.2430589190663497</v>
      </c>
      <c r="J191">
        <v>21161365786</v>
      </c>
      <c r="K191">
        <v>-2165000000</v>
      </c>
      <c r="L191">
        <v>-0.327668151100316</v>
      </c>
      <c r="M191">
        <v>-13.357786702282199</v>
      </c>
      <c r="N191">
        <v>77.424682997094393</v>
      </c>
      <c r="O191">
        <v>-4.0407327841845104</v>
      </c>
      <c r="P191">
        <v>4.7258500000000003</v>
      </c>
      <c r="Q191">
        <v>-4.9301899999999996</v>
      </c>
      <c r="R191">
        <v>2957669170</v>
      </c>
      <c r="S191">
        <v>5.8884999999999996</v>
      </c>
      <c r="T191">
        <v>15514000000</v>
      </c>
    </row>
    <row r="192" spans="1:20" x14ac:dyDescent="0.2">
      <c r="A192" t="s">
        <v>103</v>
      </c>
      <c r="B192" t="s">
        <v>33</v>
      </c>
      <c r="C192">
        <v>2018</v>
      </c>
      <c r="D192">
        <v>55950000000</v>
      </c>
      <c r="E192">
        <v>15329258290</v>
      </c>
      <c r="F192">
        <v>13021000000</v>
      </c>
      <c r="G192">
        <v>2708000000</v>
      </c>
      <c r="H192">
        <v>4007000000</v>
      </c>
      <c r="I192">
        <v>3.1318757070210399</v>
      </c>
      <c r="J192">
        <v>19820896495</v>
      </c>
      <c r="K192">
        <v>4157000000</v>
      </c>
      <c r="L192">
        <v>-0.106226724401081</v>
      </c>
      <c r="M192">
        <v>-20.302882939304201</v>
      </c>
      <c r="N192">
        <v>66.929193488639996</v>
      </c>
      <c r="O192">
        <v>3.13644960988296</v>
      </c>
      <c r="P192">
        <v>17.575140000000001</v>
      </c>
      <c r="Q192">
        <v>12.716839999999999</v>
      </c>
      <c r="R192">
        <v>2928380670</v>
      </c>
      <c r="S192">
        <v>5.0900999999999996</v>
      </c>
      <c r="T192">
        <v>19729000000</v>
      </c>
    </row>
    <row r="193" spans="1:20" x14ac:dyDescent="0.2">
      <c r="A193" t="s">
        <v>103</v>
      </c>
      <c r="B193" t="s">
        <v>33</v>
      </c>
      <c r="C193">
        <v>2019</v>
      </c>
      <c r="D193">
        <v>54324000000</v>
      </c>
      <c r="E193">
        <v>10849641670</v>
      </c>
      <c r="F193">
        <v>9886000000</v>
      </c>
      <c r="G193">
        <v>3924000000</v>
      </c>
      <c r="H193">
        <v>5758000000</v>
      </c>
      <c r="I193">
        <v>1.8893537921230299</v>
      </c>
      <c r="J193">
        <v>25087245962.400002</v>
      </c>
      <c r="K193">
        <v>3238000000</v>
      </c>
      <c r="L193">
        <v>90.858123568109505</v>
      </c>
      <c r="M193">
        <v>-12.636230046423099</v>
      </c>
      <c r="N193">
        <v>74.468293218647304</v>
      </c>
      <c r="O193">
        <v>78.761928508771902</v>
      </c>
      <c r="P193">
        <v>12.90992</v>
      </c>
      <c r="Q193">
        <v>7.3377299999999996</v>
      </c>
      <c r="R193">
        <v>3062639190</v>
      </c>
      <c r="S193">
        <v>6.2626999999999997</v>
      </c>
      <c r="T193">
        <v>18404000000</v>
      </c>
    </row>
    <row r="194" spans="1:20" x14ac:dyDescent="0.2">
      <c r="A194" t="s">
        <v>103</v>
      </c>
      <c r="B194" t="s">
        <v>33</v>
      </c>
      <c r="C194">
        <v>2020</v>
      </c>
      <c r="D194">
        <v>98080000000</v>
      </c>
      <c r="E194">
        <v>32734311440</v>
      </c>
      <c r="F194">
        <v>31413000000</v>
      </c>
      <c r="G194">
        <v>1894000000</v>
      </c>
      <c r="H194">
        <v>9099000000</v>
      </c>
      <c r="I194">
        <v>5.0614729030121604</v>
      </c>
      <c r="J194">
        <v>23787717112.799999</v>
      </c>
      <c r="K194">
        <v>729000000</v>
      </c>
      <c r="L194">
        <v>-4.5594140345538001</v>
      </c>
      <c r="M194">
        <v>-4.1065427475644798</v>
      </c>
      <c r="N194">
        <v>73.422497250838205</v>
      </c>
      <c r="O194" t="s">
        <v>18</v>
      </c>
      <c r="P194">
        <v>12.65348</v>
      </c>
      <c r="Q194">
        <v>7.3720100000000004</v>
      </c>
      <c r="R194">
        <v>3735535380</v>
      </c>
      <c r="S194">
        <v>4.2752999999999997</v>
      </c>
      <c r="T194">
        <v>44661000000</v>
      </c>
    </row>
    <row r="195" spans="1:20" x14ac:dyDescent="0.2">
      <c r="A195" t="s">
        <v>103</v>
      </c>
      <c r="B195" t="s">
        <v>33</v>
      </c>
      <c r="C195">
        <v>2021</v>
      </c>
      <c r="D195">
        <v>95385000000</v>
      </c>
      <c r="E195">
        <v>30988247560</v>
      </c>
      <c r="F195">
        <v>32841000000</v>
      </c>
      <c r="G195">
        <v>2668000000</v>
      </c>
      <c r="H195">
        <v>4925000000</v>
      </c>
      <c r="I195">
        <v>4.1793355015455997</v>
      </c>
      <c r="J195">
        <v>28959419323.200001</v>
      </c>
      <c r="K195">
        <v>1310000000</v>
      </c>
      <c r="L195">
        <v>2.2571257444727801</v>
      </c>
      <c r="M195">
        <v>7.9035180301785903</v>
      </c>
      <c r="N195">
        <v>66.505853695796105</v>
      </c>
      <c r="O195">
        <v>9.5310999541494699</v>
      </c>
      <c r="P195">
        <v>10.04529</v>
      </c>
      <c r="Q195">
        <v>3.9971100000000002</v>
      </c>
      <c r="R195">
        <v>4457267960</v>
      </c>
      <c r="S195">
        <v>2.1958000000000002</v>
      </c>
      <c r="T195">
        <v>41896000000</v>
      </c>
    </row>
    <row r="196" spans="1:20" x14ac:dyDescent="0.2">
      <c r="A196" t="s">
        <v>103</v>
      </c>
      <c r="B196" t="s">
        <v>33</v>
      </c>
      <c r="C196">
        <v>2022</v>
      </c>
      <c r="D196">
        <v>119759000000</v>
      </c>
      <c r="E196">
        <v>31139785470</v>
      </c>
      <c r="F196">
        <v>34661000000</v>
      </c>
      <c r="G196">
        <v>3634000000</v>
      </c>
      <c r="H196">
        <v>12053000000</v>
      </c>
      <c r="I196">
        <v>4.1267566290114601</v>
      </c>
      <c r="J196">
        <v>24009587892</v>
      </c>
      <c r="K196">
        <v>5305000000</v>
      </c>
      <c r="L196">
        <v>-2.5031883642710899</v>
      </c>
      <c r="M196">
        <v>8.1333044521587592</v>
      </c>
      <c r="N196">
        <v>67.670798794797506</v>
      </c>
      <c r="O196">
        <v>14.0434033875641</v>
      </c>
      <c r="P196">
        <v>-11.459709999999999</v>
      </c>
      <c r="Q196">
        <v>-16.271100000000001</v>
      </c>
      <c r="R196">
        <v>4676666470</v>
      </c>
      <c r="S196">
        <v>0.40710000000000002</v>
      </c>
      <c r="T196">
        <v>52550000000</v>
      </c>
    </row>
    <row r="197" spans="1:20" x14ac:dyDescent="0.2">
      <c r="A197" t="s">
        <v>103</v>
      </c>
      <c r="B197" t="s">
        <v>33</v>
      </c>
      <c r="C197">
        <v>2023</v>
      </c>
      <c r="D197">
        <v>134009000000</v>
      </c>
      <c r="E197">
        <v>26832560940</v>
      </c>
      <c r="F197">
        <v>34151000000</v>
      </c>
      <c r="G197">
        <v>7324000000</v>
      </c>
      <c r="H197">
        <v>15923000000</v>
      </c>
      <c r="I197">
        <v>3.2979061809810499</v>
      </c>
      <c r="J197">
        <v>31775065164</v>
      </c>
      <c r="K197">
        <v>2242000000</v>
      </c>
      <c r="L197">
        <v>-9.2033584499465402</v>
      </c>
      <c r="M197">
        <v>17.409725066423</v>
      </c>
      <c r="N197">
        <v>65.881234211868602</v>
      </c>
      <c r="O197">
        <v>29.592444274475501</v>
      </c>
      <c r="P197">
        <v>4.6654</v>
      </c>
      <c r="Q197">
        <v>1.78973</v>
      </c>
      <c r="R197">
        <v>5931006260</v>
      </c>
      <c r="S197">
        <v>0.88990000000000002</v>
      </c>
      <c r="T197">
        <v>56018000000</v>
      </c>
    </row>
    <row r="198" spans="1:20" x14ac:dyDescent="0.2">
      <c r="A198" t="s">
        <v>103</v>
      </c>
      <c r="B198" t="s">
        <v>33</v>
      </c>
      <c r="C198">
        <v>2024</v>
      </c>
      <c r="D198">
        <v>113506000000</v>
      </c>
      <c r="E198">
        <v>28580241500</v>
      </c>
      <c r="F198">
        <v>35440000000</v>
      </c>
      <c r="G198">
        <v>5585000000</v>
      </c>
      <c r="H198">
        <v>14114000000</v>
      </c>
      <c r="I198">
        <v>4.0070588735519097</v>
      </c>
      <c r="J198">
        <v>32184469578</v>
      </c>
      <c r="K198">
        <v>699000000</v>
      </c>
      <c r="L198">
        <v>-2.3541213850893001</v>
      </c>
      <c r="M198">
        <v>21.391401357863099</v>
      </c>
      <c r="N198">
        <v>63.592717903167397</v>
      </c>
      <c r="O198">
        <v>21.788182196339399</v>
      </c>
      <c r="P198">
        <v>27.83981</v>
      </c>
      <c r="Q198">
        <v>24.278970000000001</v>
      </c>
      <c r="R198">
        <v>5685458610</v>
      </c>
      <c r="S198">
        <v>1.3416999999999999</v>
      </c>
      <c r="T198">
        <v>55410000000</v>
      </c>
    </row>
    <row r="199" spans="1:20" x14ac:dyDescent="0.2">
      <c r="A199" t="s">
        <v>103</v>
      </c>
      <c r="B199" t="s">
        <v>33</v>
      </c>
      <c r="C199">
        <v>2025</v>
      </c>
      <c r="D199">
        <v>111361000000</v>
      </c>
      <c r="E199">
        <v>31906420270</v>
      </c>
      <c r="F199">
        <v>39064000000</v>
      </c>
      <c r="G199">
        <v>5752000000</v>
      </c>
      <c r="H199">
        <v>17841000000</v>
      </c>
      <c r="I199">
        <v>2.8661519316344899</v>
      </c>
      <c r="J199">
        <v>40161252354</v>
      </c>
      <c r="K199">
        <v>5562000000</v>
      </c>
      <c r="L199">
        <v>-3.8223727948255601</v>
      </c>
      <c r="M199">
        <v>16.5529339471986</v>
      </c>
      <c r="N199">
        <v>69.276426975963901</v>
      </c>
      <c r="O199" t="s">
        <v>18</v>
      </c>
      <c r="P199">
        <v>12.199350000000001</v>
      </c>
      <c r="Q199">
        <v>7.6086799999999997</v>
      </c>
      <c r="R199">
        <v>6053579740</v>
      </c>
      <c r="S199">
        <v>2.6928999999999998</v>
      </c>
      <c r="T199">
        <v>63230000000</v>
      </c>
    </row>
    <row r="200" spans="1:20" x14ac:dyDescent="0.2">
      <c r="A200" t="s">
        <v>105</v>
      </c>
      <c r="B200" t="s">
        <v>34</v>
      </c>
      <c r="C200">
        <v>2004</v>
      </c>
      <c r="D200">
        <v>2887766000</v>
      </c>
      <c r="E200">
        <v>1208198750</v>
      </c>
      <c r="F200">
        <v>1494901000</v>
      </c>
      <c r="G200">
        <v>164059000</v>
      </c>
      <c r="H200">
        <v>636401000</v>
      </c>
      <c r="I200" t="s">
        <v>18</v>
      </c>
      <c r="J200">
        <v>1357632157.1159999</v>
      </c>
      <c r="K200">
        <v>57380000</v>
      </c>
      <c r="L200" t="s">
        <v>18</v>
      </c>
      <c r="M200">
        <v>-4.0047063378585097</v>
      </c>
      <c r="N200" t="s">
        <v>18</v>
      </c>
      <c r="O200" t="s">
        <v>18</v>
      </c>
      <c r="P200">
        <v>3.0070399999999999</v>
      </c>
      <c r="Q200">
        <v>1.0737099999999999</v>
      </c>
      <c r="R200">
        <v>367762500</v>
      </c>
      <c r="S200" t="s">
        <v>18</v>
      </c>
      <c r="T200">
        <v>2315924000</v>
      </c>
    </row>
    <row r="201" spans="1:20" x14ac:dyDescent="0.2">
      <c r="A201" t="s">
        <v>105</v>
      </c>
      <c r="B201" t="s">
        <v>34</v>
      </c>
      <c r="C201">
        <v>2005</v>
      </c>
      <c r="D201">
        <v>3291288000</v>
      </c>
      <c r="E201">
        <v>901353330</v>
      </c>
      <c r="F201">
        <v>979040000</v>
      </c>
      <c r="G201">
        <v>225260000</v>
      </c>
      <c r="H201" t="s">
        <v>18</v>
      </c>
      <c r="I201" t="s">
        <v>18</v>
      </c>
      <c r="J201">
        <v>3175668286.96</v>
      </c>
      <c r="K201">
        <v>-49784000</v>
      </c>
      <c r="L201" t="s">
        <v>18</v>
      </c>
      <c r="M201">
        <v>19.863288636662599</v>
      </c>
      <c r="N201" t="s">
        <v>18</v>
      </c>
      <c r="O201" t="s">
        <v>18</v>
      </c>
      <c r="P201">
        <v>6.8194600000000003</v>
      </c>
      <c r="Q201">
        <v>4.4604699999999999</v>
      </c>
      <c r="R201">
        <v>519415330</v>
      </c>
      <c r="S201" t="s">
        <v>18</v>
      </c>
      <c r="T201">
        <v>1879218000</v>
      </c>
    </row>
    <row r="202" spans="1:20" x14ac:dyDescent="0.2">
      <c r="A202" t="s">
        <v>105</v>
      </c>
      <c r="B202" t="s">
        <v>34</v>
      </c>
      <c r="C202">
        <v>2006</v>
      </c>
      <c r="D202">
        <v>4050037000</v>
      </c>
      <c r="E202">
        <v>1110665000</v>
      </c>
      <c r="F202">
        <v>888342000</v>
      </c>
      <c r="G202">
        <v>145334000</v>
      </c>
      <c r="H202">
        <v>1143087000</v>
      </c>
      <c r="I202" t="s">
        <v>18</v>
      </c>
      <c r="J202">
        <v>2643596817.52</v>
      </c>
      <c r="K202">
        <v>55337000</v>
      </c>
      <c r="L202" t="s">
        <v>18</v>
      </c>
      <c r="M202">
        <v>21.735385613180899</v>
      </c>
      <c r="N202" t="s">
        <v>18</v>
      </c>
      <c r="O202" t="s">
        <v>18</v>
      </c>
      <c r="P202">
        <v>7.9554</v>
      </c>
      <c r="Q202">
        <v>6.2117199999999997</v>
      </c>
      <c r="R202">
        <v>280602090</v>
      </c>
      <c r="S202" t="s">
        <v>18</v>
      </c>
      <c r="T202">
        <v>2097089000</v>
      </c>
    </row>
    <row r="203" spans="1:20" x14ac:dyDescent="0.2">
      <c r="A203" t="s">
        <v>105</v>
      </c>
      <c r="B203" t="s">
        <v>34</v>
      </c>
      <c r="C203">
        <v>2007</v>
      </c>
      <c r="D203">
        <v>5161743000</v>
      </c>
      <c r="E203">
        <v>1688141890</v>
      </c>
      <c r="F203">
        <v>1510222000</v>
      </c>
      <c r="G203">
        <v>169856000</v>
      </c>
      <c r="H203">
        <v>1218848000</v>
      </c>
      <c r="I203" t="s">
        <v>18</v>
      </c>
      <c r="J203">
        <v>2035074099.28</v>
      </c>
      <c r="K203">
        <v>65783000</v>
      </c>
      <c r="L203" t="s">
        <v>18</v>
      </c>
      <c r="M203" t="s">
        <v>18</v>
      </c>
      <c r="N203" t="s">
        <v>18</v>
      </c>
      <c r="O203" t="s">
        <v>18</v>
      </c>
      <c r="P203">
        <v>4.8472299999999997</v>
      </c>
      <c r="Q203">
        <v>3.1256599999999999</v>
      </c>
      <c r="R203">
        <v>312570100</v>
      </c>
      <c r="S203" t="s">
        <v>18</v>
      </c>
      <c r="T203">
        <v>2908530000</v>
      </c>
    </row>
    <row r="204" spans="1:20" x14ac:dyDescent="0.2">
      <c r="A204" t="s">
        <v>105</v>
      </c>
      <c r="B204" t="s">
        <v>34</v>
      </c>
      <c r="C204">
        <v>2008</v>
      </c>
      <c r="D204">
        <v>5388068000</v>
      </c>
      <c r="E204">
        <v>768283000</v>
      </c>
      <c r="F204">
        <v>1603702000</v>
      </c>
      <c r="G204">
        <v>180996000</v>
      </c>
      <c r="H204">
        <v>1333761000</v>
      </c>
      <c r="I204" t="s">
        <v>18</v>
      </c>
      <c r="J204">
        <v>1458454997.2</v>
      </c>
      <c r="K204">
        <v>167393000</v>
      </c>
      <c r="L204" t="s">
        <v>18</v>
      </c>
      <c r="M204" t="s">
        <v>18</v>
      </c>
      <c r="N204" t="s">
        <v>18</v>
      </c>
      <c r="O204" t="s">
        <v>18</v>
      </c>
      <c r="P204">
        <v>5.7434599999999998</v>
      </c>
      <c r="Q204">
        <v>3.9199700000000002</v>
      </c>
      <c r="R204">
        <v>436330570</v>
      </c>
      <c r="S204" t="s">
        <v>18</v>
      </c>
      <c r="T204">
        <v>3062758000</v>
      </c>
    </row>
    <row r="205" spans="1:20" x14ac:dyDescent="0.2">
      <c r="A205" t="s">
        <v>105</v>
      </c>
      <c r="B205" t="s">
        <v>34</v>
      </c>
      <c r="C205">
        <v>2009</v>
      </c>
      <c r="D205">
        <v>5545455000</v>
      </c>
      <c r="E205">
        <v>739940460</v>
      </c>
      <c r="F205">
        <v>1823352000</v>
      </c>
      <c r="G205">
        <v>744962000</v>
      </c>
      <c r="H205">
        <v>1916328000</v>
      </c>
      <c r="I205" t="s">
        <v>18</v>
      </c>
      <c r="J205">
        <v>1440812389.76</v>
      </c>
      <c r="K205">
        <v>443622000</v>
      </c>
      <c r="L205" t="s">
        <v>18</v>
      </c>
      <c r="M205">
        <v>23.304941690957101</v>
      </c>
      <c r="N205" t="s">
        <v>18</v>
      </c>
      <c r="O205" t="s">
        <v>18</v>
      </c>
      <c r="P205">
        <v>-9.6909999999999996E-2</v>
      </c>
      <c r="Q205">
        <v>-3.24254</v>
      </c>
      <c r="R205">
        <v>-52751430</v>
      </c>
      <c r="S205">
        <v>4.2777000000000003</v>
      </c>
      <c r="T205">
        <v>3847679000</v>
      </c>
    </row>
    <row r="206" spans="1:20" x14ac:dyDescent="0.2">
      <c r="A206" t="s">
        <v>105</v>
      </c>
      <c r="B206" t="s">
        <v>34</v>
      </c>
      <c r="C206">
        <v>2010</v>
      </c>
      <c r="D206">
        <v>5987178000</v>
      </c>
      <c r="E206">
        <v>968233110</v>
      </c>
      <c r="F206">
        <v>2320297000</v>
      </c>
      <c r="G206">
        <v>1797855000</v>
      </c>
      <c r="H206">
        <v>1782463000</v>
      </c>
      <c r="I206" t="s">
        <v>18</v>
      </c>
      <c r="J206">
        <v>1431991161.2</v>
      </c>
      <c r="K206">
        <v>32255000</v>
      </c>
      <c r="L206" t="s">
        <v>18</v>
      </c>
      <c r="M206">
        <v>16.873410483205198</v>
      </c>
      <c r="N206" t="s">
        <v>18</v>
      </c>
      <c r="O206" t="s">
        <v>18</v>
      </c>
      <c r="P206">
        <v>1.69435</v>
      </c>
      <c r="Q206">
        <v>-2.46245</v>
      </c>
      <c r="R206">
        <v>124321000</v>
      </c>
      <c r="S206">
        <v>4.5007000000000001</v>
      </c>
      <c r="T206">
        <v>4248824000</v>
      </c>
    </row>
    <row r="207" spans="1:20" x14ac:dyDescent="0.2">
      <c r="A207" t="s">
        <v>105</v>
      </c>
      <c r="B207" t="s">
        <v>34</v>
      </c>
      <c r="C207">
        <v>2011</v>
      </c>
      <c r="D207">
        <v>5293727000</v>
      </c>
      <c r="E207">
        <v>925018630</v>
      </c>
      <c r="F207">
        <v>1987902000</v>
      </c>
      <c r="G207">
        <v>1312544000</v>
      </c>
      <c r="H207">
        <v>1740423000</v>
      </c>
      <c r="I207" t="s">
        <v>18</v>
      </c>
      <c r="J207">
        <v>1376122929.3599999</v>
      </c>
      <c r="K207">
        <v>-165365000</v>
      </c>
      <c r="L207" t="s">
        <v>18</v>
      </c>
      <c r="M207">
        <v>-8.25912891180859</v>
      </c>
      <c r="N207" t="s">
        <v>18</v>
      </c>
      <c r="O207" t="s">
        <v>18</v>
      </c>
      <c r="P207">
        <v>1.88426</v>
      </c>
      <c r="Q207">
        <v>-1.6577599999999999</v>
      </c>
      <c r="R207">
        <v>44590000</v>
      </c>
      <c r="S207">
        <v>5.6138000000000003</v>
      </c>
      <c r="T207">
        <v>3879396000</v>
      </c>
    </row>
    <row r="208" spans="1:20" x14ac:dyDescent="0.2">
      <c r="A208" t="s">
        <v>105</v>
      </c>
      <c r="B208" t="s">
        <v>34</v>
      </c>
      <c r="C208">
        <v>2012</v>
      </c>
      <c r="D208">
        <v>4855107000</v>
      </c>
      <c r="E208">
        <v>833014290</v>
      </c>
      <c r="F208">
        <v>1418255000</v>
      </c>
      <c r="G208">
        <v>532670000</v>
      </c>
      <c r="H208">
        <v>1727764000</v>
      </c>
      <c r="I208" t="s">
        <v>18</v>
      </c>
      <c r="J208">
        <v>790976624.63999999</v>
      </c>
      <c r="K208">
        <v>-13472000</v>
      </c>
      <c r="L208" t="s">
        <v>18</v>
      </c>
      <c r="M208">
        <v>-25.631949042683502</v>
      </c>
      <c r="N208" t="s">
        <v>18</v>
      </c>
      <c r="O208" t="s">
        <v>18</v>
      </c>
      <c r="P208">
        <v>-7.9676499999999999</v>
      </c>
      <c r="Q208">
        <v>-10.092549999999999</v>
      </c>
      <c r="R208">
        <v>178701110</v>
      </c>
      <c r="S208">
        <v>8.1646999999999998</v>
      </c>
      <c r="T208">
        <v>3296528000</v>
      </c>
    </row>
    <row r="209" spans="1:20" x14ac:dyDescent="0.2">
      <c r="A209" t="s">
        <v>105</v>
      </c>
      <c r="B209" t="s">
        <v>34</v>
      </c>
      <c r="C209">
        <v>2013</v>
      </c>
      <c r="D209">
        <v>4760931000</v>
      </c>
      <c r="E209">
        <v>1209333330</v>
      </c>
      <c r="F209">
        <v>1431369000</v>
      </c>
      <c r="G209">
        <v>999325000</v>
      </c>
      <c r="H209">
        <v>1775703000</v>
      </c>
      <c r="I209" t="s">
        <v>18</v>
      </c>
      <c r="J209">
        <v>1437871980.24</v>
      </c>
      <c r="K209">
        <v>108063000</v>
      </c>
      <c r="L209" t="s">
        <v>18</v>
      </c>
      <c r="M209">
        <v>-27.931610451558601</v>
      </c>
      <c r="N209" t="s">
        <v>18</v>
      </c>
      <c r="O209" t="s">
        <v>18</v>
      </c>
      <c r="P209">
        <v>8.3660899999999998</v>
      </c>
      <c r="Q209">
        <v>5.5265700000000004</v>
      </c>
      <c r="R209">
        <v>260500000</v>
      </c>
      <c r="S209">
        <v>9.2141000000000002</v>
      </c>
      <c r="T209">
        <v>3402471000</v>
      </c>
    </row>
    <row r="210" spans="1:20" x14ac:dyDescent="0.2">
      <c r="A210" t="s">
        <v>105</v>
      </c>
      <c r="B210" t="s">
        <v>34</v>
      </c>
      <c r="C210">
        <v>2014</v>
      </c>
      <c r="D210">
        <v>5212026000</v>
      </c>
      <c r="E210">
        <v>847250000</v>
      </c>
      <c r="F210">
        <v>1683291000</v>
      </c>
      <c r="G210">
        <v>977274000</v>
      </c>
      <c r="H210">
        <v>1773556000</v>
      </c>
      <c r="I210">
        <v>1.66200874041318</v>
      </c>
      <c r="J210">
        <v>1359950601.8399999</v>
      </c>
      <c r="K210">
        <v>4327000</v>
      </c>
      <c r="L210">
        <v>-14.358547951230699</v>
      </c>
      <c r="M210">
        <v>-26.339454330872901</v>
      </c>
      <c r="N210" t="s">
        <v>18</v>
      </c>
      <c r="O210">
        <v>-34.542212121212103</v>
      </c>
      <c r="P210">
        <v>8.4300499999999996</v>
      </c>
      <c r="Q210">
        <v>5.1125499999999997</v>
      </c>
      <c r="R210">
        <v>253970000</v>
      </c>
      <c r="S210">
        <v>13.0747</v>
      </c>
      <c r="T210">
        <v>3696851000</v>
      </c>
    </row>
    <row r="211" spans="1:20" x14ac:dyDescent="0.2">
      <c r="A211" t="s">
        <v>105</v>
      </c>
      <c r="B211" t="s">
        <v>34</v>
      </c>
      <c r="C211">
        <v>2015</v>
      </c>
      <c r="D211">
        <v>4180454000</v>
      </c>
      <c r="E211">
        <v>1423750000</v>
      </c>
      <c r="F211">
        <v>1371174000</v>
      </c>
      <c r="G211">
        <v>1169359000</v>
      </c>
      <c r="H211">
        <v>1671465000</v>
      </c>
      <c r="I211">
        <v>5.2062098131720296</v>
      </c>
      <c r="J211">
        <v>1784843159.6800001</v>
      </c>
      <c r="K211">
        <v>-15865000</v>
      </c>
      <c r="L211">
        <v>18.187177684308001</v>
      </c>
      <c r="M211">
        <v>-31.097381986176298</v>
      </c>
      <c r="N211" t="s">
        <v>18</v>
      </c>
      <c r="O211">
        <v>-2.1729213483146101</v>
      </c>
      <c r="P211">
        <v>32.893520000000002</v>
      </c>
      <c r="Q211">
        <v>17.453220000000002</v>
      </c>
      <c r="R211">
        <v>181000000</v>
      </c>
      <c r="S211">
        <v>14.6046</v>
      </c>
      <c r="T211">
        <v>3090026000</v>
      </c>
    </row>
    <row r="212" spans="1:20" x14ac:dyDescent="0.2">
      <c r="A212" t="s">
        <v>105</v>
      </c>
      <c r="B212" t="s">
        <v>34</v>
      </c>
      <c r="C212">
        <v>2016</v>
      </c>
      <c r="D212">
        <v>4776688000</v>
      </c>
      <c r="E212">
        <v>1663000000</v>
      </c>
      <c r="F212">
        <v>2089179000</v>
      </c>
      <c r="G212">
        <v>770564000</v>
      </c>
      <c r="H212">
        <v>1625959000</v>
      </c>
      <c r="I212">
        <v>3.7084418497803302</v>
      </c>
      <c r="J212">
        <v>1337897304.96</v>
      </c>
      <c r="K212">
        <v>24181000</v>
      </c>
      <c r="L212">
        <v>2.9050989079608098</v>
      </c>
      <c r="M212">
        <v>-11.8916846516391</v>
      </c>
      <c r="N212" t="s">
        <v>18</v>
      </c>
      <c r="O212">
        <v>-15.6316211799474</v>
      </c>
      <c r="P212">
        <v>36.67351</v>
      </c>
      <c r="Q212">
        <v>19.110890000000001</v>
      </c>
      <c r="R212">
        <v>190320000</v>
      </c>
      <c r="S212">
        <v>37.192799999999998</v>
      </c>
      <c r="T212">
        <v>3765476000</v>
      </c>
    </row>
    <row r="213" spans="1:20" x14ac:dyDescent="0.2">
      <c r="A213" t="s">
        <v>105</v>
      </c>
      <c r="B213" t="s">
        <v>34</v>
      </c>
      <c r="C213">
        <v>2017</v>
      </c>
      <c r="D213">
        <v>4531605000</v>
      </c>
      <c r="E213">
        <v>1331825000</v>
      </c>
      <c r="F213">
        <v>1946289000</v>
      </c>
      <c r="G213">
        <v>427195000</v>
      </c>
      <c r="H213">
        <v>1729099000</v>
      </c>
      <c r="I213">
        <v>2.8539830729081199</v>
      </c>
      <c r="J213">
        <v>2258253000.7199998</v>
      </c>
      <c r="K213">
        <v>87434000</v>
      </c>
      <c r="L213">
        <v>-0.116006035190537</v>
      </c>
      <c r="M213">
        <v>-6.4428707601839301</v>
      </c>
      <c r="N213" t="s">
        <v>18</v>
      </c>
      <c r="O213">
        <v>43.808264758497302</v>
      </c>
      <c r="P213">
        <v>44.387900000000002</v>
      </c>
      <c r="Q213">
        <v>19.878319999999999</v>
      </c>
      <c r="R213">
        <v>206020000</v>
      </c>
      <c r="S213">
        <v>52.735300000000002</v>
      </c>
      <c r="T213">
        <v>3675388000</v>
      </c>
    </row>
    <row r="214" spans="1:20" x14ac:dyDescent="0.2">
      <c r="A214" t="s">
        <v>105</v>
      </c>
      <c r="B214" t="s">
        <v>34</v>
      </c>
      <c r="C214">
        <v>2018</v>
      </c>
      <c r="D214">
        <v>4661245000</v>
      </c>
      <c r="E214">
        <v>1334880000</v>
      </c>
      <c r="F214">
        <v>1967684000</v>
      </c>
      <c r="G214">
        <v>812992000</v>
      </c>
      <c r="H214">
        <v>1877466000</v>
      </c>
      <c r="I214">
        <v>2.6645448561618399</v>
      </c>
      <c r="J214">
        <v>2414139200</v>
      </c>
      <c r="K214">
        <v>108403000</v>
      </c>
      <c r="L214">
        <v>0.44813877311052902</v>
      </c>
      <c r="M214">
        <v>-5.9456038429434797</v>
      </c>
      <c r="N214">
        <v>60.123317061915799</v>
      </c>
      <c r="O214">
        <v>284.41693067553501</v>
      </c>
      <c r="P214">
        <v>44.612319999999997</v>
      </c>
      <c r="Q214">
        <v>20.794129999999999</v>
      </c>
      <c r="R214">
        <v>233620000</v>
      </c>
      <c r="S214">
        <v>54.666400000000003</v>
      </c>
      <c r="T214">
        <v>3845150000</v>
      </c>
    </row>
    <row r="215" spans="1:20" x14ac:dyDescent="0.2">
      <c r="A215" t="s">
        <v>105</v>
      </c>
      <c r="B215" t="s">
        <v>34</v>
      </c>
      <c r="C215">
        <v>2019</v>
      </c>
      <c r="D215">
        <v>4697911000</v>
      </c>
      <c r="E215">
        <v>1488060000</v>
      </c>
      <c r="F215">
        <v>2093853000</v>
      </c>
      <c r="G215">
        <v>774193000</v>
      </c>
      <c r="H215">
        <v>1828832000</v>
      </c>
      <c r="I215">
        <v>3.05944310850587</v>
      </c>
      <c r="J215">
        <v>2986858400</v>
      </c>
      <c r="K215">
        <v>104407000</v>
      </c>
      <c r="L215">
        <v>2.55977098327195</v>
      </c>
      <c r="M215">
        <v>-4.54380992713096</v>
      </c>
      <c r="N215">
        <v>78.561306790082597</v>
      </c>
      <c r="O215">
        <v>734.88292664414996</v>
      </c>
      <c r="P215">
        <v>47.600059999999999</v>
      </c>
      <c r="Q215">
        <v>20.828610000000001</v>
      </c>
      <c r="R215">
        <v>211540000</v>
      </c>
      <c r="S215">
        <v>60.572699999999998</v>
      </c>
      <c r="T215">
        <v>3922685000</v>
      </c>
    </row>
    <row r="216" spans="1:20" x14ac:dyDescent="0.2">
      <c r="A216" t="s">
        <v>105</v>
      </c>
      <c r="B216" t="s">
        <v>34</v>
      </c>
      <c r="C216">
        <v>2020</v>
      </c>
      <c r="D216">
        <v>4602811000</v>
      </c>
      <c r="E216">
        <v>1402800000</v>
      </c>
      <c r="F216">
        <v>2169229000</v>
      </c>
      <c r="G216">
        <v>653528000</v>
      </c>
      <c r="H216">
        <v>1774606000</v>
      </c>
      <c r="I216">
        <v>2.88403587994268</v>
      </c>
      <c r="J216">
        <v>3051496000</v>
      </c>
      <c r="K216">
        <v>33317000</v>
      </c>
      <c r="L216">
        <v>5.89654946228673</v>
      </c>
      <c r="M216">
        <v>7.1356988339875</v>
      </c>
      <c r="N216">
        <v>66.705371375106594</v>
      </c>
      <c r="O216" t="s">
        <v>18</v>
      </c>
      <c r="P216">
        <v>51.028100000000002</v>
      </c>
      <c r="Q216">
        <v>21.143920000000001</v>
      </c>
      <c r="R216">
        <v>190416670</v>
      </c>
      <c r="S216">
        <v>59.054400000000001</v>
      </c>
      <c r="T216">
        <v>3955365000</v>
      </c>
    </row>
    <row r="217" spans="1:20" x14ac:dyDescent="0.2">
      <c r="A217" t="s">
        <v>105</v>
      </c>
      <c r="B217" t="s">
        <v>34</v>
      </c>
      <c r="C217">
        <v>2021</v>
      </c>
      <c r="D217">
        <v>4526947000</v>
      </c>
      <c r="E217">
        <v>1705308800</v>
      </c>
      <c r="F217">
        <v>2196181000</v>
      </c>
      <c r="G217">
        <v>603567000</v>
      </c>
      <c r="H217">
        <v>1758077000</v>
      </c>
      <c r="I217">
        <v>3.5461891995593899</v>
      </c>
      <c r="J217">
        <v>4476529600</v>
      </c>
      <c r="K217">
        <v>47882000</v>
      </c>
      <c r="L217">
        <v>-22.3570077909066</v>
      </c>
      <c r="M217">
        <v>1.0976901740679099</v>
      </c>
      <c r="N217">
        <v>70.727591583777894</v>
      </c>
      <c r="O217">
        <v>460.88995052361702</v>
      </c>
      <c r="P217">
        <v>57.140790000000003</v>
      </c>
      <c r="Q217">
        <v>20.54635</v>
      </c>
      <c r="R217">
        <v>244364130</v>
      </c>
      <c r="S217">
        <v>60.8401</v>
      </c>
      <c r="T217">
        <v>3963927000</v>
      </c>
    </row>
    <row r="218" spans="1:20" x14ac:dyDescent="0.2">
      <c r="A218" t="s">
        <v>105</v>
      </c>
      <c r="B218" t="s">
        <v>34</v>
      </c>
      <c r="C218">
        <v>2022</v>
      </c>
      <c r="D218">
        <v>6003844000</v>
      </c>
      <c r="E218">
        <v>1564892430</v>
      </c>
      <c r="F218">
        <v>3519719000</v>
      </c>
      <c r="G218">
        <v>810352000</v>
      </c>
      <c r="H218">
        <v>1558983000</v>
      </c>
      <c r="I218">
        <v>2.9781435010188702</v>
      </c>
      <c r="J218">
        <v>4587766400</v>
      </c>
      <c r="K218">
        <v>85424000</v>
      </c>
      <c r="L218">
        <v>6.8643622716083197</v>
      </c>
      <c r="M218">
        <v>34.132124020843399</v>
      </c>
      <c r="N218">
        <v>79.090368547642498</v>
      </c>
      <c r="O218">
        <v>172.50668207834099</v>
      </c>
      <c r="P218">
        <v>72.174090000000007</v>
      </c>
      <c r="Q218">
        <v>37.872019999999999</v>
      </c>
      <c r="R218">
        <v>301694290</v>
      </c>
      <c r="S218">
        <v>56.877299999999998</v>
      </c>
      <c r="T218">
        <v>5088341000</v>
      </c>
    </row>
    <row r="219" spans="1:20" x14ac:dyDescent="0.2">
      <c r="A219" t="s">
        <v>105</v>
      </c>
      <c r="B219" t="s">
        <v>34</v>
      </c>
      <c r="C219">
        <v>2023</v>
      </c>
      <c r="D219">
        <v>5226385000</v>
      </c>
      <c r="E219">
        <v>1495248000</v>
      </c>
      <c r="F219">
        <v>2283802000</v>
      </c>
      <c r="G219">
        <v>324811000</v>
      </c>
      <c r="H219">
        <v>2045350000</v>
      </c>
      <c r="I219">
        <v>2.9029628001521699</v>
      </c>
      <c r="J219">
        <v>3986486400</v>
      </c>
      <c r="K219">
        <v>86672000</v>
      </c>
      <c r="L219">
        <v>17.4492194634805</v>
      </c>
      <c r="M219">
        <v>43.798575868734602</v>
      </c>
      <c r="N219">
        <v>81.011367092225598</v>
      </c>
      <c r="O219">
        <v>69.3981422930881</v>
      </c>
      <c r="P219">
        <v>79.082009999999997</v>
      </c>
      <c r="Q219">
        <v>47.651490000000003</v>
      </c>
      <c r="R219">
        <v>278929110</v>
      </c>
      <c r="S219">
        <v>99.859899999999996</v>
      </c>
      <c r="T219">
        <v>4338484000</v>
      </c>
    </row>
    <row r="220" spans="1:20" x14ac:dyDescent="0.2">
      <c r="A220" t="s">
        <v>105</v>
      </c>
      <c r="B220" t="s">
        <v>34</v>
      </c>
      <c r="C220">
        <v>2024</v>
      </c>
      <c r="D220">
        <v>5199295000</v>
      </c>
      <c r="E220">
        <v>1867906250</v>
      </c>
      <c r="F220">
        <v>2341305000</v>
      </c>
      <c r="G220">
        <v>458568000</v>
      </c>
      <c r="H220">
        <v>2133033000</v>
      </c>
      <c r="I220">
        <v>3.3366495539444099</v>
      </c>
      <c r="J220">
        <v>3123649600</v>
      </c>
      <c r="K220">
        <v>210684000</v>
      </c>
      <c r="L220">
        <v>10.410879544374801</v>
      </c>
      <c r="M220">
        <v>38.385817611330403</v>
      </c>
      <c r="N220">
        <v>88.101131152958402</v>
      </c>
      <c r="O220">
        <v>63.6454842031251</v>
      </c>
      <c r="P220">
        <v>72.400459999999995</v>
      </c>
      <c r="Q220">
        <v>42.052799999999998</v>
      </c>
      <c r="R220">
        <v>298960330</v>
      </c>
      <c r="S220">
        <v>100</v>
      </c>
      <c r="T220">
        <v>4481002000</v>
      </c>
    </row>
    <row r="221" spans="1:20" x14ac:dyDescent="0.2">
      <c r="A221" t="s">
        <v>105</v>
      </c>
      <c r="B221" t="s">
        <v>34</v>
      </c>
      <c r="C221">
        <v>2025</v>
      </c>
      <c r="D221">
        <v>6317771000</v>
      </c>
      <c r="E221">
        <v>1978921130</v>
      </c>
      <c r="F221">
        <v>3085800000</v>
      </c>
      <c r="G221">
        <v>590966000</v>
      </c>
      <c r="H221">
        <v>2146618000</v>
      </c>
      <c r="I221">
        <v>3.4521438278465801</v>
      </c>
      <c r="J221">
        <v>3273969600</v>
      </c>
      <c r="K221">
        <v>191725000</v>
      </c>
      <c r="L221">
        <v>7.3421543230522301</v>
      </c>
      <c r="M221">
        <v>25.177474726300801</v>
      </c>
      <c r="N221">
        <v>83.3019537734083</v>
      </c>
      <c r="O221" t="s">
        <v>18</v>
      </c>
      <c r="P221">
        <v>74.41431</v>
      </c>
      <c r="Q221">
        <v>38.260590000000001</v>
      </c>
      <c r="R221">
        <v>292368560</v>
      </c>
      <c r="S221">
        <v>100</v>
      </c>
      <c r="T221">
        <v>5308899000</v>
      </c>
    </row>
    <row r="222" spans="1:20" x14ac:dyDescent="0.2">
      <c r="A222" t="s">
        <v>107</v>
      </c>
      <c r="B222" t="s">
        <v>35</v>
      </c>
      <c r="C222">
        <v>2004</v>
      </c>
      <c r="D222">
        <v>16562000000</v>
      </c>
      <c r="E222">
        <v>4795349600</v>
      </c>
      <c r="F222">
        <v>4286000000</v>
      </c>
      <c r="G222">
        <v>439000000</v>
      </c>
      <c r="H222">
        <v>6406000000</v>
      </c>
      <c r="I222" t="s">
        <v>18</v>
      </c>
      <c r="J222">
        <v>8482784163.0608501</v>
      </c>
      <c r="K222">
        <v>516000000</v>
      </c>
      <c r="L222" t="s">
        <v>18</v>
      </c>
      <c r="M222">
        <v>-2.9247758199096898</v>
      </c>
      <c r="N222" t="s">
        <v>18</v>
      </c>
      <c r="O222" t="s">
        <v>18</v>
      </c>
      <c r="P222">
        <v>16.94171</v>
      </c>
      <c r="Q222">
        <v>12.104990000000001</v>
      </c>
      <c r="R222">
        <v>1740919670</v>
      </c>
      <c r="S222" t="s">
        <v>18</v>
      </c>
      <c r="T222">
        <v>10924000000</v>
      </c>
    </row>
    <row r="223" spans="1:20" x14ac:dyDescent="0.2">
      <c r="A223" t="s">
        <v>107</v>
      </c>
      <c r="B223" t="s">
        <v>35</v>
      </c>
      <c r="C223">
        <v>2005</v>
      </c>
      <c r="D223">
        <v>17567000000</v>
      </c>
      <c r="E223">
        <v>3452623640</v>
      </c>
      <c r="F223">
        <v>5240000000</v>
      </c>
      <c r="G223">
        <v>145000000</v>
      </c>
      <c r="H223">
        <v>7500000000</v>
      </c>
      <c r="I223" t="s">
        <v>18</v>
      </c>
      <c r="J223">
        <v>13041536115.926901</v>
      </c>
      <c r="K223">
        <v>703000000</v>
      </c>
      <c r="L223" t="s">
        <v>18</v>
      </c>
      <c r="M223">
        <v>-14.6349549750497</v>
      </c>
      <c r="N223" t="s">
        <v>18</v>
      </c>
      <c r="O223" t="s">
        <v>18</v>
      </c>
      <c r="P223">
        <v>41.955669999999998</v>
      </c>
      <c r="Q223">
        <v>31.16037</v>
      </c>
      <c r="R223">
        <v>1292782640</v>
      </c>
      <c r="S223" t="s">
        <v>18</v>
      </c>
      <c r="T223">
        <v>12890000000</v>
      </c>
    </row>
    <row r="224" spans="1:20" x14ac:dyDescent="0.2">
      <c r="A224" t="s">
        <v>107</v>
      </c>
      <c r="B224" t="s">
        <v>35</v>
      </c>
      <c r="C224">
        <v>2006</v>
      </c>
      <c r="D224">
        <v>15130000000</v>
      </c>
      <c r="E224">
        <v>3947862160</v>
      </c>
      <c r="F224">
        <v>3946000000</v>
      </c>
      <c r="G224">
        <v>788000000</v>
      </c>
      <c r="H224">
        <v>7151000000</v>
      </c>
      <c r="I224" t="s">
        <v>18</v>
      </c>
      <c r="J224">
        <v>19113975273.183601</v>
      </c>
      <c r="K224">
        <v>936000000</v>
      </c>
      <c r="L224" t="s">
        <v>18</v>
      </c>
      <c r="M224">
        <v>-13.536539078033799</v>
      </c>
      <c r="N224" t="s">
        <v>18</v>
      </c>
      <c r="O224" t="s">
        <v>18</v>
      </c>
      <c r="P224">
        <v>48.33634</v>
      </c>
      <c r="Q224">
        <v>34.743360000000003</v>
      </c>
      <c r="R224">
        <v>1518876770</v>
      </c>
      <c r="S224" t="s">
        <v>18</v>
      </c>
      <c r="T224">
        <v>11357000000</v>
      </c>
    </row>
    <row r="225" spans="1:20" x14ac:dyDescent="0.2">
      <c r="A225" t="s">
        <v>107</v>
      </c>
      <c r="B225" t="s">
        <v>35</v>
      </c>
      <c r="C225">
        <v>2007</v>
      </c>
      <c r="D225">
        <v>16839000000</v>
      </c>
      <c r="E225">
        <v>4381709900</v>
      </c>
      <c r="F225">
        <v>4502000000</v>
      </c>
      <c r="G225">
        <v>157000000</v>
      </c>
      <c r="H225">
        <v>7908000000</v>
      </c>
      <c r="I225" t="s">
        <v>18</v>
      </c>
      <c r="J225">
        <v>25343700737.303001</v>
      </c>
      <c r="K225">
        <v>1120000000</v>
      </c>
      <c r="L225" t="s">
        <v>18</v>
      </c>
      <c r="M225">
        <v>-5.8901082633317303</v>
      </c>
      <c r="N225">
        <v>33.602836746887697</v>
      </c>
      <c r="O225" t="s">
        <v>18</v>
      </c>
      <c r="P225">
        <v>41.950569999999999</v>
      </c>
      <c r="Q225">
        <v>32.398130000000002</v>
      </c>
      <c r="R225">
        <v>1753819780</v>
      </c>
      <c r="S225" t="s">
        <v>18</v>
      </c>
      <c r="T225">
        <v>12663000000</v>
      </c>
    </row>
    <row r="226" spans="1:20" x14ac:dyDescent="0.2">
      <c r="A226" t="s">
        <v>107</v>
      </c>
      <c r="B226" t="s">
        <v>35</v>
      </c>
      <c r="C226">
        <v>2008</v>
      </c>
      <c r="D226">
        <v>17674000000</v>
      </c>
      <c r="E226">
        <v>6264137580</v>
      </c>
      <c r="F226">
        <v>4893000000</v>
      </c>
      <c r="G226">
        <v>427000000</v>
      </c>
      <c r="H226">
        <v>8359000000</v>
      </c>
      <c r="I226" t="s">
        <v>18</v>
      </c>
      <c r="J226">
        <v>12443438127.315001</v>
      </c>
      <c r="K226">
        <v>1608000000</v>
      </c>
      <c r="L226" t="s">
        <v>18</v>
      </c>
      <c r="M226">
        <v>-1.8217239280573101</v>
      </c>
      <c r="N226">
        <v>41.444711070927703</v>
      </c>
      <c r="O226" t="s">
        <v>18</v>
      </c>
      <c r="P226">
        <v>51.819600000000001</v>
      </c>
      <c r="Q226">
        <v>41.236879999999999</v>
      </c>
      <c r="R226">
        <v>1992423230</v>
      </c>
      <c r="S226" t="s">
        <v>18</v>
      </c>
      <c r="T226">
        <v>13544000000</v>
      </c>
    </row>
    <row r="227" spans="1:20" x14ac:dyDescent="0.2">
      <c r="A227" t="s">
        <v>107</v>
      </c>
      <c r="B227" t="s">
        <v>35</v>
      </c>
      <c r="C227">
        <v>2009</v>
      </c>
      <c r="D227">
        <v>20278000000</v>
      </c>
      <c r="E227">
        <v>6043783880</v>
      </c>
      <c r="F227">
        <v>7500000000</v>
      </c>
      <c r="G227">
        <v>733000000</v>
      </c>
      <c r="H227">
        <v>7954000000</v>
      </c>
      <c r="I227" t="s">
        <v>18</v>
      </c>
      <c r="J227">
        <v>14757442305.659401</v>
      </c>
      <c r="K227">
        <v>1596000000</v>
      </c>
      <c r="L227" t="s">
        <v>18</v>
      </c>
      <c r="M227">
        <v>13.103753471583699</v>
      </c>
      <c r="N227">
        <v>62.869540239377997</v>
      </c>
      <c r="O227" t="s">
        <v>18</v>
      </c>
      <c r="P227">
        <v>43.967350000000003</v>
      </c>
      <c r="Q227">
        <v>34.82967</v>
      </c>
      <c r="R227">
        <v>1858641580</v>
      </c>
      <c r="S227">
        <v>46.557699999999997</v>
      </c>
      <c r="T227">
        <v>15911000000</v>
      </c>
    </row>
    <row r="228" spans="1:20" x14ac:dyDescent="0.2">
      <c r="A228" t="s">
        <v>107</v>
      </c>
      <c r="B228" t="s">
        <v>35</v>
      </c>
      <c r="C228">
        <v>2010</v>
      </c>
      <c r="D228">
        <v>19841000000</v>
      </c>
      <c r="E228">
        <v>6263856320</v>
      </c>
      <c r="F228">
        <v>6859000000</v>
      </c>
      <c r="G228">
        <v>493000000</v>
      </c>
      <c r="H228">
        <v>8034000000</v>
      </c>
      <c r="I228" t="s">
        <v>18</v>
      </c>
      <c r="J228">
        <v>17609287965.555901</v>
      </c>
      <c r="K228">
        <v>1351000000</v>
      </c>
      <c r="L228" t="s">
        <v>18</v>
      </c>
      <c r="M228">
        <v>20.326803673878398</v>
      </c>
      <c r="N228">
        <v>62.578616145366702</v>
      </c>
      <c r="O228" t="s">
        <v>18</v>
      </c>
      <c r="P228">
        <v>44.489420000000003</v>
      </c>
      <c r="Q228">
        <v>34.737810000000003</v>
      </c>
      <c r="R228">
        <v>1936775900</v>
      </c>
      <c r="S228">
        <v>45.221699999999998</v>
      </c>
      <c r="T228">
        <v>15350000000</v>
      </c>
    </row>
    <row r="229" spans="1:20" x14ac:dyDescent="0.2">
      <c r="A229" t="s">
        <v>107</v>
      </c>
      <c r="B229" t="s">
        <v>35</v>
      </c>
      <c r="C229">
        <v>2011</v>
      </c>
      <c r="D229">
        <v>21964000000</v>
      </c>
      <c r="E229">
        <v>6609300360</v>
      </c>
      <c r="F229">
        <v>7384000000</v>
      </c>
      <c r="G229">
        <v>285000000</v>
      </c>
      <c r="H229">
        <v>8210000000</v>
      </c>
      <c r="I229" t="s">
        <v>18</v>
      </c>
      <c r="J229">
        <v>14482565551.329599</v>
      </c>
      <c r="K229">
        <v>1354000000</v>
      </c>
      <c r="L229" t="s">
        <v>18</v>
      </c>
      <c r="M229">
        <v>26.7965366106658</v>
      </c>
      <c r="N229">
        <v>58.477915098293003</v>
      </c>
      <c r="O229" t="s">
        <v>18</v>
      </c>
      <c r="P229">
        <v>38.00826</v>
      </c>
      <c r="Q229">
        <v>29.06607</v>
      </c>
      <c r="R229">
        <v>2095474650</v>
      </c>
      <c r="S229">
        <v>42.441699999999997</v>
      </c>
      <c r="T229">
        <v>16126000000</v>
      </c>
    </row>
    <row r="230" spans="1:20" x14ac:dyDescent="0.2">
      <c r="A230" t="s">
        <v>107</v>
      </c>
      <c r="B230" t="s">
        <v>35</v>
      </c>
      <c r="C230">
        <v>2012</v>
      </c>
      <c r="D230">
        <v>22998000000</v>
      </c>
      <c r="E230">
        <v>7478881350</v>
      </c>
      <c r="F230">
        <v>7773000000</v>
      </c>
      <c r="G230">
        <v>731000000</v>
      </c>
      <c r="H230">
        <v>9632000000</v>
      </c>
      <c r="I230" t="s">
        <v>18</v>
      </c>
      <c r="J230">
        <v>11897006136.4377</v>
      </c>
      <c r="K230">
        <v>1862000000</v>
      </c>
      <c r="L230" t="s">
        <v>18</v>
      </c>
      <c r="M230">
        <v>21.5156677651457</v>
      </c>
      <c r="N230">
        <v>69.792449791336395</v>
      </c>
      <c r="O230" t="s">
        <v>18</v>
      </c>
      <c r="P230">
        <v>38.873559999999998</v>
      </c>
      <c r="Q230">
        <v>29.037489999999998</v>
      </c>
      <c r="R230">
        <v>1773075500</v>
      </c>
      <c r="S230">
        <v>41.454300000000003</v>
      </c>
      <c r="T230">
        <v>17934000000</v>
      </c>
    </row>
    <row r="231" spans="1:20" x14ac:dyDescent="0.2">
      <c r="A231" t="s">
        <v>107</v>
      </c>
      <c r="B231" t="s">
        <v>35</v>
      </c>
      <c r="C231">
        <v>2013</v>
      </c>
      <c r="D231">
        <v>23495000000</v>
      </c>
      <c r="E231">
        <v>7976634920</v>
      </c>
      <c r="F231">
        <v>8718000000</v>
      </c>
      <c r="G231">
        <v>961000000</v>
      </c>
      <c r="H231">
        <v>10039000000</v>
      </c>
      <c r="I231" t="s">
        <v>18</v>
      </c>
      <c r="J231">
        <v>14465385421.046301</v>
      </c>
      <c r="K231">
        <v>1512000000</v>
      </c>
      <c r="L231" t="s">
        <v>18</v>
      </c>
      <c r="M231">
        <v>19.155907310226599</v>
      </c>
      <c r="N231">
        <v>65.942035979132598</v>
      </c>
      <c r="O231" t="s">
        <v>18</v>
      </c>
      <c r="P231">
        <v>38.528979999999997</v>
      </c>
      <c r="Q231">
        <v>27.748010000000001</v>
      </c>
      <c r="R231">
        <v>1715068250</v>
      </c>
      <c r="S231">
        <v>43.795099999999998</v>
      </c>
      <c r="T231">
        <v>18865000000</v>
      </c>
    </row>
    <row r="232" spans="1:20" x14ac:dyDescent="0.2">
      <c r="A232" t="s">
        <v>107</v>
      </c>
      <c r="B232" t="s">
        <v>35</v>
      </c>
      <c r="C232">
        <v>2014</v>
      </c>
      <c r="D232">
        <v>23348000000</v>
      </c>
      <c r="E232">
        <v>4165497190</v>
      </c>
      <c r="F232">
        <v>9039000000</v>
      </c>
      <c r="G232">
        <v>1250000000</v>
      </c>
      <c r="H232">
        <v>10023000000</v>
      </c>
      <c r="I232">
        <v>1.9186005220178699</v>
      </c>
      <c r="J232">
        <v>17136842822.2533</v>
      </c>
      <c r="K232">
        <v>1212000000</v>
      </c>
      <c r="L232">
        <v>0.16542400334707499</v>
      </c>
      <c r="M232">
        <v>-0.276574762506898</v>
      </c>
      <c r="N232">
        <v>69.888970228151805</v>
      </c>
      <c r="O232">
        <v>-28.785187254130602</v>
      </c>
      <c r="P232">
        <v>38.086269999999999</v>
      </c>
      <c r="Q232">
        <v>26.407990000000002</v>
      </c>
      <c r="R232">
        <v>1935629960</v>
      </c>
      <c r="S232">
        <v>43.853900000000003</v>
      </c>
      <c r="T232">
        <v>19163000000</v>
      </c>
    </row>
    <row r="233" spans="1:20" x14ac:dyDescent="0.2">
      <c r="A233" t="s">
        <v>107</v>
      </c>
      <c r="B233" t="s">
        <v>35</v>
      </c>
      <c r="C233">
        <v>2015</v>
      </c>
      <c r="D233">
        <v>21375000000</v>
      </c>
      <c r="E233">
        <v>-1620227860</v>
      </c>
      <c r="F233">
        <v>6984000000</v>
      </c>
      <c r="G233">
        <v>2009000000</v>
      </c>
      <c r="H233">
        <v>10864000000</v>
      </c>
      <c r="I233">
        <v>-2.0345176945449301</v>
      </c>
      <c r="J233">
        <v>11897006136.4377</v>
      </c>
      <c r="K233">
        <v>1089000000</v>
      </c>
      <c r="L233">
        <v>-1.22411305448784</v>
      </c>
      <c r="M233">
        <v>-5.9439501974239404</v>
      </c>
      <c r="N233">
        <v>72.151619977327798</v>
      </c>
      <c r="O233">
        <v>-29.042342447916699</v>
      </c>
      <c r="P233">
        <v>35.763210000000001</v>
      </c>
      <c r="Q233">
        <v>26.5411</v>
      </c>
      <c r="R233">
        <v>914765480</v>
      </c>
      <c r="S233">
        <v>45.3444</v>
      </c>
      <c r="T233">
        <v>17919000000</v>
      </c>
    </row>
    <row r="234" spans="1:20" x14ac:dyDescent="0.2">
      <c r="A234" t="s">
        <v>107</v>
      </c>
      <c r="B234" t="s">
        <v>35</v>
      </c>
      <c r="C234">
        <v>2016</v>
      </c>
      <c r="D234">
        <v>22767000000</v>
      </c>
      <c r="E234">
        <v>-475854960</v>
      </c>
      <c r="F234">
        <v>6007000000</v>
      </c>
      <c r="G234">
        <v>3289000000</v>
      </c>
      <c r="H234">
        <v>13794000000</v>
      </c>
      <c r="I234">
        <v>-0.43335384943782901</v>
      </c>
      <c r="J234">
        <v>11690849014.873899</v>
      </c>
      <c r="K234">
        <v>-227000000</v>
      </c>
      <c r="L234">
        <v>8.1688543824533806</v>
      </c>
      <c r="M234">
        <v>-14.2094381376637</v>
      </c>
      <c r="N234">
        <v>79.650719821887094</v>
      </c>
      <c r="O234">
        <v>84.718493358633793</v>
      </c>
      <c r="P234">
        <v>33.36224</v>
      </c>
      <c r="Q234">
        <v>23.359349999999999</v>
      </c>
      <c r="R234">
        <v>703615040</v>
      </c>
      <c r="S234">
        <v>19.3626</v>
      </c>
      <c r="T234">
        <v>19870000000</v>
      </c>
    </row>
    <row r="235" spans="1:20" x14ac:dyDescent="0.2">
      <c r="A235" t="s">
        <v>107</v>
      </c>
      <c r="B235" t="s">
        <v>35</v>
      </c>
      <c r="C235">
        <v>2017</v>
      </c>
      <c r="D235">
        <v>21964000000</v>
      </c>
      <c r="E235">
        <v>935948590</v>
      </c>
      <c r="F235">
        <v>5107000000</v>
      </c>
      <c r="G235">
        <v>1679000000</v>
      </c>
      <c r="H235">
        <v>13458000000</v>
      </c>
      <c r="I235">
        <v>0.82380652382632402</v>
      </c>
      <c r="J235">
        <v>15040908680.9473</v>
      </c>
      <c r="K235">
        <v>505000000</v>
      </c>
      <c r="L235">
        <v>11.526993697618099</v>
      </c>
      <c r="M235">
        <v>-14.1570292130785</v>
      </c>
      <c r="N235">
        <v>77.583200290148099</v>
      </c>
      <c r="O235">
        <v>56.567784641068499</v>
      </c>
      <c r="P235">
        <v>27.643170000000001</v>
      </c>
      <c r="Q235">
        <v>17.373349999999999</v>
      </c>
      <c r="R235">
        <v>817464780</v>
      </c>
      <c r="S235">
        <v>64.823999999999998</v>
      </c>
      <c r="T235">
        <v>18649000000</v>
      </c>
    </row>
    <row r="236" spans="1:20" x14ac:dyDescent="0.2">
      <c r="A236" t="s">
        <v>107</v>
      </c>
      <c r="B236" t="s">
        <v>35</v>
      </c>
      <c r="C236">
        <v>2018</v>
      </c>
      <c r="D236">
        <v>21753000000</v>
      </c>
      <c r="E236">
        <v>5119020500</v>
      </c>
      <c r="F236">
        <v>4885000000</v>
      </c>
      <c r="G236">
        <v>3182000000</v>
      </c>
      <c r="H236">
        <v>13048000000</v>
      </c>
      <c r="I236">
        <v>3.1471349508792801</v>
      </c>
      <c r="J236">
        <v>15813999441.454</v>
      </c>
      <c r="K236">
        <v>882000000</v>
      </c>
      <c r="L236">
        <v>3.62105871403827</v>
      </c>
      <c r="M236">
        <v>-14.309405743672199</v>
      </c>
      <c r="N236">
        <v>72.655504042319805</v>
      </c>
      <c r="O236">
        <v>262.50124048706198</v>
      </c>
      <c r="P236">
        <v>28.03097</v>
      </c>
      <c r="Q236">
        <v>17.76549</v>
      </c>
      <c r="R236">
        <v>997904740</v>
      </c>
      <c r="S236">
        <v>43.414000000000001</v>
      </c>
      <c r="T236">
        <v>18172000000</v>
      </c>
    </row>
    <row r="237" spans="1:20" x14ac:dyDescent="0.2">
      <c r="A237" t="s">
        <v>107</v>
      </c>
      <c r="B237" t="s">
        <v>35</v>
      </c>
      <c r="C237">
        <v>2019</v>
      </c>
      <c r="D237">
        <v>22409000000</v>
      </c>
      <c r="E237">
        <v>5371959130</v>
      </c>
      <c r="F237">
        <v>6093000000</v>
      </c>
      <c r="G237">
        <v>557000000</v>
      </c>
      <c r="H237">
        <v>11841000000</v>
      </c>
      <c r="I237">
        <v>3.2072815791679399</v>
      </c>
      <c r="J237">
        <v>18372287069.710098</v>
      </c>
      <c r="K237">
        <v>859000000</v>
      </c>
      <c r="L237">
        <v>155.10126766297401</v>
      </c>
      <c r="M237">
        <v>-10.4245558626396</v>
      </c>
      <c r="N237">
        <v>70.857770105165002</v>
      </c>
      <c r="O237">
        <v>15.556521588946501</v>
      </c>
      <c r="P237">
        <v>28.309809999999999</v>
      </c>
      <c r="Q237">
        <v>18.084700000000002</v>
      </c>
      <c r="R237">
        <v>1124073680</v>
      </c>
      <c r="S237">
        <v>39.128599999999999</v>
      </c>
      <c r="T237">
        <v>18170000000</v>
      </c>
    </row>
    <row r="238" spans="1:20" x14ac:dyDescent="0.2">
      <c r="A238" t="s">
        <v>107</v>
      </c>
      <c r="B238" t="s">
        <v>35</v>
      </c>
      <c r="C238">
        <v>2020</v>
      </c>
      <c r="D238">
        <v>23364000000</v>
      </c>
      <c r="E238">
        <v>7538652930</v>
      </c>
      <c r="F238">
        <v>6688000000</v>
      </c>
      <c r="G238">
        <v>1356000000</v>
      </c>
      <c r="H238">
        <v>12983000000</v>
      </c>
      <c r="I238">
        <v>3.4575743204760601</v>
      </c>
      <c r="J238">
        <v>16345237297.2421</v>
      </c>
      <c r="K238">
        <v>1507000000</v>
      </c>
      <c r="L238">
        <v>31.3696225268374</v>
      </c>
      <c r="M238">
        <v>2.24424774350627</v>
      </c>
      <c r="N238">
        <v>75.061631726820593</v>
      </c>
      <c r="O238">
        <v>66.1256302158273</v>
      </c>
      <c r="P238">
        <v>32.40316</v>
      </c>
      <c r="Q238">
        <v>21.846889999999998</v>
      </c>
      <c r="R238">
        <v>1387824190</v>
      </c>
      <c r="S238">
        <v>39.326999999999998</v>
      </c>
      <c r="T238">
        <v>19923000000</v>
      </c>
    </row>
    <row r="239" spans="1:20" x14ac:dyDescent="0.2">
      <c r="A239" t="s">
        <v>107</v>
      </c>
      <c r="B239" t="s">
        <v>35</v>
      </c>
      <c r="C239">
        <v>2021</v>
      </c>
      <c r="D239">
        <v>57810000000</v>
      </c>
      <c r="E239">
        <v>4957544140</v>
      </c>
      <c r="F239">
        <v>10993000000</v>
      </c>
      <c r="G239">
        <v>1898000000</v>
      </c>
      <c r="H239">
        <v>12953000000</v>
      </c>
      <c r="I239">
        <v>1.2479431201164199</v>
      </c>
      <c r="J239">
        <v>21928213312.784801</v>
      </c>
      <c r="K239">
        <v>1855000000</v>
      </c>
      <c r="L239">
        <v>-13.928750173919701</v>
      </c>
      <c r="M239">
        <v>15.876492449290801</v>
      </c>
      <c r="N239">
        <v>75.501961620656004</v>
      </c>
      <c r="O239">
        <v>42.019639418710298</v>
      </c>
      <c r="P239">
        <v>5.4473099999999999</v>
      </c>
      <c r="Q239">
        <v>3.22146</v>
      </c>
      <c r="R239">
        <v>2237684930</v>
      </c>
      <c r="S239">
        <v>38.534300000000002</v>
      </c>
      <c r="T239">
        <v>26570000000</v>
      </c>
    </row>
    <row r="240" spans="1:20" x14ac:dyDescent="0.2">
      <c r="A240" t="s">
        <v>107</v>
      </c>
      <c r="B240" t="s">
        <v>35</v>
      </c>
      <c r="C240">
        <v>2022</v>
      </c>
      <c r="D240">
        <v>149661000000</v>
      </c>
      <c r="E240">
        <v>5512016730</v>
      </c>
      <c r="F240">
        <v>18205000000</v>
      </c>
      <c r="G240">
        <v>7545000000</v>
      </c>
      <c r="H240">
        <v>12131000000</v>
      </c>
      <c r="I240">
        <v>1.75331149725538</v>
      </c>
      <c r="J240">
        <v>13890160872.6227</v>
      </c>
      <c r="K240">
        <v>4007000000</v>
      </c>
      <c r="L240">
        <v>8.8097015333576607</v>
      </c>
      <c r="M240">
        <v>14.483709665342801</v>
      </c>
      <c r="N240">
        <v>78.883982680515004</v>
      </c>
      <c r="O240">
        <v>-46.492611205432901</v>
      </c>
      <c r="P240">
        <v>31.049520000000001</v>
      </c>
      <c r="Q240">
        <v>21.90906</v>
      </c>
      <c r="R240">
        <v>876864460</v>
      </c>
      <c r="S240">
        <v>27.8276</v>
      </c>
      <c r="T240">
        <v>31870000000</v>
      </c>
    </row>
    <row r="241" spans="1:20" x14ac:dyDescent="0.2">
      <c r="A241" t="s">
        <v>107</v>
      </c>
      <c r="B241" t="s">
        <v>35</v>
      </c>
      <c r="C241">
        <v>2023</v>
      </c>
      <c r="D241">
        <v>23642000000</v>
      </c>
      <c r="E241">
        <v>831074000</v>
      </c>
      <c r="F241">
        <v>8137000000</v>
      </c>
      <c r="G241">
        <v>3771000000</v>
      </c>
      <c r="H241">
        <v>7670000000</v>
      </c>
      <c r="I241">
        <v>0.39036646485361198</v>
      </c>
      <c r="J241">
        <v>11322086788.379299</v>
      </c>
      <c r="K241">
        <v>2084000000</v>
      </c>
      <c r="L241">
        <v>-13.678035746777701</v>
      </c>
      <c r="M241">
        <v>-6.1241183510500203</v>
      </c>
      <c r="N241">
        <v>74.847550627097803</v>
      </c>
      <c r="O241">
        <v>22.7626779026217</v>
      </c>
      <c r="P241">
        <v>26.061229999999998</v>
      </c>
      <c r="Q241">
        <v>20.722919999999998</v>
      </c>
      <c r="R241">
        <v>1678427230</v>
      </c>
      <c r="S241">
        <v>38.208399999999997</v>
      </c>
      <c r="T241">
        <v>15874000000</v>
      </c>
    </row>
    <row r="242" spans="1:20" x14ac:dyDescent="0.2">
      <c r="A242" t="s">
        <v>107</v>
      </c>
      <c r="B242" t="s">
        <v>35</v>
      </c>
      <c r="C242">
        <v>2024</v>
      </c>
      <c r="D242">
        <v>18739000000</v>
      </c>
      <c r="E242">
        <v>387946000</v>
      </c>
      <c r="F242">
        <v>6041000000</v>
      </c>
      <c r="G242">
        <v>4183000000</v>
      </c>
      <c r="H242">
        <v>8439000000</v>
      </c>
      <c r="I242">
        <v>0.17273278783749099</v>
      </c>
      <c r="J242">
        <v>12376211924.415001</v>
      </c>
      <c r="K242">
        <v>1514000000</v>
      </c>
      <c r="L242">
        <v>-7.1430821432644001</v>
      </c>
      <c r="M242">
        <v>-0.103842383984176</v>
      </c>
      <c r="N242">
        <v>72.6726177999074</v>
      </c>
      <c r="O242">
        <v>-15.8163072916667</v>
      </c>
      <c r="P242">
        <v>28.35643</v>
      </c>
      <c r="Q242">
        <v>23.007000000000001</v>
      </c>
      <c r="R242">
        <v>1249052800</v>
      </c>
      <c r="S242">
        <v>42.7226</v>
      </c>
      <c r="T242">
        <v>14540000000</v>
      </c>
    </row>
    <row r="243" spans="1:20" x14ac:dyDescent="0.2">
      <c r="A243" t="s">
        <v>107</v>
      </c>
      <c r="B243" t="s">
        <v>35</v>
      </c>
      <c r="C243">
        <v>2025</v>
      </c>
      <c r="D243">
        <v>17307000000</v>
      </c>
      <c r="E243">
        <v>1121406080</v>
      </c>
      <c r="F243">
        <v>4921000000</v>
      </c>
      <c r="G243">
        <v>4045000000</v>
      </c>
      <c r="H243">
        <v>9075000000</v>
      </c>
      <c r="I243">
        <v>0.92458591622862996</v>
      </c>
      <c r="J243">
        <v>15782881939.35</v>
      </c>
      <c r="K243">
        <v>1160000000</v>
      </c>
      <c r="L243">
        <v>2.62834341799388</v>
      </c>
      <c r="M243">
        <v>-7.4468000309540399</v>
      </c>
      <c r="N243">
        <v>70.279289364789307</v>
      </c>
      <c r="O243">
        <v>7.1664067796610196</v>
      </c>
      <c r="P243">
        <v>27</v>
      </c>
      <c r="Q243">
        <v>20.465520000000001</v>
      </c>
      <c r="R243">
        <v>973381000</v>
      </c>
      <c r="S243">
        <v>42.619100000000003</v>
      </c>
      <c r="T243">
        <v>14075000000</v>
      </c>
    </row>
    <row r="244" spans="1:20" x14ac:dyDescent="0.2">
      <c r="A244" t="s">
        <v>111</v>
      </c>
      <c r="B244" t="s">
        <v>36</v>
      </c>
      <c r="C244">
        <v>2004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</row>
    <row r="245" spans="1:20" x14ac:dyDescent="0.2">
      <c r="A245" t="s">
        <v>111</v>
      </c>
      <c r="B245" t="s">
        <v>36</v>
      </c>
      <c r="C245">
        <v>2005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</row>
    <row r="246" spans="1:20" x14ac:dyDescent="0.2">
      <c r="A246" t="s">
        <v>111</v>
      </c>
      <c r="B246" t="s">
        <v>36</v>
      </c>
      <c r="C246">
        <v>2006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</row>
    <row r="247" spans="1:20" x14ac:dyDescent="0.2">
      <c r="A247" t="s">
        <v>111</v>
      </c>
      <c r="B247" t="s">
        <v>36</v>
      </c>
      <c r="C247">
        <v>2007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</row>
    <row r="248" spans="1:20" x14ac:dyDescent="0.2">
      <c r="A248" t="s">
        <v>111</v>
      </c>
      <c r="B248" t="s">
        <v>36</v>
      </c>
      <c r="C248">
        <v>2008</v>
      </c>
      <c r="D248" t="s">
        <v>18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</row>
    <row r="249" spans="1:20" x14ac:dyDescent="0.2">
      <c r="A249" t="s">
        <v>111</v>
      </c>
      <c r="B249" t="s">
        <v>36</v>
      </c>
      <c r="C249">
        <v>2009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</row>
    <row r="250" spans="1:20" x14ac:dyDescent="0.2">
      <c r="A250" t="s">
        <v>111</v>
      </c>
      <c r="B250" t="s">
        <v>36</v>
      </c>
      <c r="C250">
        <v>2010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</row>
    <row r="251" spans="1:20" x14ac:dyDescent="0.2">
      <c r="A251" t="s">
        <v>111</v>
      </c>
      <c r="B251" t="s">
        <v>36</v>
      </c>
      <c r="C251">
        <v>2011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</row>
    <row r="252" spans="1:20" x14ac:dyDescent="0.2">
      <c r="A252" t="s">
        <v>111</v>
      </c>
      <c r="B252" t="s">
        <v>36</v>
      </c>
      <c r="C252">
        <v>2012</v>
      </c>
      <c r="D252" t="s">
        <v>18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</row>
    <row r="253" spans="1:20" x14ac:dyDescent="0.2">
      <c r="A253" t="s">
        <v>111</v>
      </c>
      <c r="B253" t="s">
        <v>36</v>
      </c>
      <c r="C253">
        <v>2013</v>
      </c>
      <c r="D253" t="s">
        <v>18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</row>
    <row r="254" spans="1:20" x14ac:dyDescent="0.2">
      <c r="A254" t="s">
        <v>111</v>
      </c>
      <c r="B254" t="s">
        <v>36</v>
      </c>
      <c r="C254">
        <v>2014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</row>
    <row r="255" spans="1:20" x14ac:dyDescent="0.2">
      <c r="A255" t="s">
        <v>111</v>
      </c>
      <c r="B255" t="s">
        <v>36</v>
      </c>
      <c r="C255">
        <v>2015</v>
      </c>
      <c r="D255">
        <v>21656513</v>
      </c>
      <c r="E255" t="s">
        <v>18</v>
      </c>
      <c r="F255">
        <v>10273085</v>
      </c>
      <c r="G255">
        <v>112014</v>
      </c>
      <c r="H255">
        <v>7140672</v>
      </c>
      <c r="I255" t="s">
        <v>18</v>
      </c>
      <c r="J255">
        <v>40454545.939999998</v>
      </c>
      <c r="K255">
        <v>1720774</v>
      </c>
      <c r="L255" t="s">
        <v>18</v>
      </c>
      <c r="M255" t="s">
        <v>18</v>
      </c>
      <c r="N255" t="s">
        <v>18</v>
      </c>
      <c r="O255" t="s">
        <v>18</v>
      </c>
      <c r="P255">
        <v>42.245159999999998</v>
      </c>
      <c r="Q255">
        <v>19.88571</v>
      </c>
      <c r="R255" t="s">
        <v>18</v>
      </c>
      <c r="S255" t="s">
        <v>18</v>
      </c>
      <c r="T255">
        <v>17410375</v>
      </c>
    </row>
    <row r="256" spans="1:20" x14ac:dyDescent="0.2">
      <c r="A256" t="s">
        <v>111</v>
      </c>
      <c r="B256" t="s">
        <v>36</v>
      </c>
      <c r="C256">
        <v>2016</v>
      </c>
      <c r="D256">
        <v>20643807</v>
      </c>
      <c r="E256" t="s">
        <v>18</v>
      </c>
      <c r="F256">
        <v>6141455</v>
      </c>
      <c r="G256">
        <v>1043731</v>
      </c>
      <c r="H256">
        <v>12436747</v>
      </c>
      <c r="I256" t="s">
        <v>18</v>
      </c>
      <c r="J256">
        <v>36459331.5</v>
      </c>
      <c r="K256">
        <v>2942923</v>
      </c>
      <c r="L256" t="s">
        <v>18</v>
      </c>
      <c r="M256" t="s">
        <v>18</v>
      </c>
      <c r="N256" t="s">
        <v>18</v>
      </c>
      <c r="O256" t="s">
        <v>18</v>
      </c>
      <c r="P256">
        <v>-36.873390000000001</v>
      </c>
      <c r="Q256">
        <v>-57.48789</v>
      </c>
      <c r="R256" t="s">
        <v>18</v>
      </c>
      <c r="S256" t="s">
        <v>18</v>
      </c>
      <c r="T256">
        <v>18575499</v>
      </c>
    </row>
    <row r="257" spans="1:20" x14ac:dyDescent="0.2">
      <c r="A257" t="s">
        <v>111</v>
      </c>
      <c r="B257" t="s">
        <v>36</v>
      </c>
      <c r="C257">
        <v>2017</v>
      </c>
      <c r="D257">
        <v>50304613</v>
      </c>
      <c r="E257" t="s">
        <v>18</v>
      </c>
      <c r="F257">
        <v>19632206</v>
      </c>
      <c r="G257">
        <v>9057315</v>
      </c>
      <c r="H257">
        <v>13051783</v>
      </c>
      <c r="I257" t="s">
        <v>18</v>
      </c>
      <c r="J257">
        <v>43508135.590000004</v>
      </c>
      <c r="K257">
        <v>-3005335</v>
      </c>
      <c r="L257" t="s">
        <v>18</v>
      </c>
      <c r="M257" t="s">
        <v>18</v>
      </c>
      <c r="N257" t="s">
        <v>18</v>
      </c>
      <c r="O257" t="s">
        <v>18</v>
      </c>
      <c r="P257">
        <v>-168.35210000000001</v>
      </c>
      <c r="Q257">
        <v>-193.29221999999999</v>
      </c>
      <c r="R257" t="s">
        <v>18</v>
      </c>
      <c r="S257" t="s">
        <v>18</v>
      </c>
      <c r="T257">
        <v>33029251</v>
      </c>
    </row>
    <row r="258" spans="1:20" x14ac:dyDescent="0.2">
      <c r="A258" t="s">
        <v>111</v>
      </c>
      <c r="B258" t="s">
        <v>36</v>
      </c>
      <c r="C258">
        <v>2018</v>
      </c>
      <c r="D258">
        <v>57496924</v>
      </c>
      <c r="E258" t="s">
        <v>18</v>
      </c>
      <c r="F258">
        <v>22102218</v>
      </c>
      <c r="G258">
        <v>2953415</v>
      </c>
      <c r="H258">
        <v>16021416</v>
      </c>
      <c r="I258" t="s">
        <v>18</v>
      </c>
      <c r="J258">
        <v>85557897.920000002</v>
      </c>
      <c r="K258">
        <v>3502577</v>
      </c>
      <c r="L258" t="s">
        <v>18</v>
      </c>
      <c r="M258" t="s">
        <v>18</v>
      </c>
      <c r="N258" t="s">
        <v>18</v>
      </c>
      <c r="O258" t="s">
        <v>18</v>
      </c>
      <c r="P258">
        <v>-11.869120000000001</v>
      </c>
      <c r="Q258">
        <v>-25.012509999999999</v>
      </c>
      <c r="R258" t="s">
        <v>18</v>
      </c>
      <c r="S258" t="s">
        <v>18</v>
      </c>
      <c r="T258">
        <v>38144812</v>
      </c>
    </row>
    <row r="259" spans="1:20" x14ac:dyDescent="0.2">
      <c r="A259" t="s">
        <v>111</v>
      </c>
      <c r="B259" t="s">
        <v>36</v>
      </c>
      <c r="C259">
        <v>2019</v>
      </c>
      <c r="D259">
        <v>60571679</v>
      </c>
      <c r="E259" t="s">
        <v>18</v>
      </c>
      <c r="F259">
        <v>15891580</v>
      </c>
      <c r="G259">
        <v>13119041</v>
      </c>
      <c r="H259">
        <v>25539372</v>
      </c>
      <c r="I259" t="s">
        <v>18</v>
      </c>
      <c r="J259">
        <v>358516759.75</v>
      </c>
      <c r="K259">
        <v>9532458</v>
      </c>
      <c r="L259" t="s">
        <v>18</v>
      </c>
      <c r="M259" t="s">
        <v>18</v>
      </c>
      <c r="N259" t="s">
        <v>18</v>
      </c>
      <c r="O259" t="s">
        <v>18</v>
      </c>
      <c r="P259">
        <v>26.081150000000001</v>
      </c>
      <c r="Q259">
        <v>22.764659999999999</v>
      </c>
      <c r="R259" t="s">
        <v>18</v>
      </c>
      <c r="S259" t="s">
        <v>18</v>
      </c>
      <c r="T259">
        <v>41202262</v>
      </c>
    </row>
    <row r="260" spans="1:20" x14ac:dyDescent="0.2">
      <c r="A260" t="s">
        <v>111</v>
      </c>
      <c r="B260" t="s">
        <v>36</v>
      </c>
      <c r="C260">
        <v>2020</v>
      </c>
      <c r="D260">
        <v>157627010</v>
      </c>
      <c r="E260">
        <v>143765000</v>
      </c>
      <c r="F260">
        <v>72676247</v>
      </c>
      <c r="G260">
        <v>28773087</v>
      </c>
      <c r="H260">
        <v>37247581</v>
      </c>
      <c r="I260">
        <v>5.8512413512413497</v>
      </c>
      <c r="J260">
        <v>500708152.60000002</v>
      </c>
      <c r="K260">
        <v>11436317</v>
      </c>
      <c r="L260">
        <v>40.480315718548503</v>
      </c>
      <c r="M260">
        <v>82.326155343511999</v>
      </c>
      <c r="N260" t="s">
        <v>18</v>
      </c>
      <c r="O260">
        <v>48.795853269537503</v>
      </c>
      <c r="P260">
        <v>13.390700000000001</v>
      </c>
      <c r="Q260">
        <v>12.4764</v>
      </c>
      <c r="R260">
        <v>23975000</v>
      </c>
      <c r="S260" t="s">
        <v>18</v>
      </c>
      <c r="T260">
        <v>109773722</v>
      </c>
    </row>
    <row r="261" spans="1:20" x14ac:dyDescent="0.2">
      <c r="A261" t="s">
        <v>111</v>
      </c>
      <c r="B261" t="s">
        <v>36</v>
      </c>
      <c r="C261">
        <v>2021</v>
      </c>
      <c r="D261">
        <v>258198255</v>
      </c>
      <c r="E261">
        <v>230362000</v>
      </c>
      <c r="F261">
        <v>149854937</v>
      </c>
      <c r="G261">
        <v>20569250</v>
      </c>
      <c r="H261">
        <v>49204938</v>
      </c>
      <c r="I261">
        <v>6.8254265606953997</v>
      </c>
      <c r="J261">
        <v>875508659.85000002</v>
      </c>
      <c r="K261">
        <v>15107015</v>
      </c>
      <c r="L261">
        <v>54.2882555256896</v>
      </c>
      <c r="M261">
        <v>67.590452499962197</v>
      </c>
      <c r="N261" t="s">
        <v>18</v>
      </c>
      <c r="O261">
        <v>170.86541489215401</v>
      </c>
      <c r="P261">
        <v>32.281120000000001</v>
      </c>
      <c r="Q261">
        <v>31.191980000000001</v>
      </c>
      <c r="R261">
        <v>28270000</v>
      </c>
      <c r="S261" t="s">
        <v>18</v>
      </c>
      <c r="T261">
        <v>198689885</v>
      </c>
    </row>
    <row r="262" spans="1:20" x14ac:dyDescent="0.2">
      <c r="A262" t="s">
        <v>111</v>
      </c>
      <c r="B262" t="s">
        <v>36</v>
      </c>
      <c r="C262">
        <v>2022</v>
      </c>
      <c r="D262">
        <v>604808000</v>
      </c>
      <c r="E262">
        <v>375255000</v>
      </c>
      <c r="F262">
        <v>311862000</v>
      </c>
      <c r="G262">
        <v>68668000</v>
      </c>
      <c r="H262">
        <v>159323000</v>
      </c>
      <c r="I262">
        <v>6.3347209954685502</v>
      </c>
      <c r="J262">
        <v>970397578.70000005</v>
      </c>
      <c r="K262">
        <v>16012000</v>
      </c>
      <c r="L262">
        <v>35.050230832308202</v>
      </c>
      <c r="M262">
        <v>60.430373367993298</v>
      </c>
      <c r="N262">
        <v>70.3172946351105</v>
      </c>
      <c r="O262">
        <v>28.1745812241025</v>
      </c>
      <c r="P262">
        <v>50.207259999999998</v>
      </c>
      <c r="Q262">
        <v>41.57152</v>
      </c>
      <c r="R262">
        <v>49020000</v>
      </c>
      <c r="S262" t="s">
        <v>18</v>
      </c>
      <c r="T262">
        <v>470570000</v>
      </c>
    </row>
    <row r="263" spans="1:20" x14ac:dyDescent="0.2">
      <c r="A263" t="s">
        <v>111</v>
      </c>
      <c r="B263" t="s">
        <v>36</v>
      </c>
      <c r="C263">
        <v>2023</v>
      </c>
      <c r="D263">
        <v>886981000</v>
      </c>
      <c r="E263">
        <v>484988570</v>
      </c>
      <c r="F263">
        <v>445874000</v>
      </c>
      <c r="G263">
        <v>105670000</v>
      </c>
      <c r="H263">
        <v>245053000</v>
      </c>
      <c r="I263">
        <v>4.0603571370501399</v>
      </c>
      <c r="J263">
        <v>919581806.44000006</v>
      </c>
      <c r="K263">
        <v>10634000</v>
      </c>
      <c r="L263">
        <v>52.444008862526999</v>
      </c>
      <c r="M263">
        <v>37.063676216550803</v>
      </c>
      <c r="N263">
        <v>73.607489968363097</v>
      </c>
      <c r="O263">
        <v>50.512767280353202</v>
      </c>
      <c r="P263">
        <v>45.353760000000001</v>
      </c>
      <c r="Q263">
        <v>32.532739999999997</v>
      </c>
      <c r="R263">
        <v>103633330</v>
      </c>
      <c r="S263" t="s">
        <v>18</v>
      </c>
      <c r="T263">
        <v>690689000</v>
      </c>
    </row>
    <row r="264" spans="1:20" x14ac:dyDescent="0.2">
      <c r="A264" t="s">
        <v>111</v>
      </c>
      <c r="B264" t="s">
        <v>36</v>
      </c>
      <c r="C264">
        <v>2024</v>
      </c>
      <c r="D264">
        <v>1266336000</v>
      </c>
      <c r="E264">
        <v>854225000</v>
      </c>
      <c r="F264">
        <v>752209000</v>
      </c>
      <c r="G264">
        <v>121451000</v>
      </c>
      <c r="H264">
        <v>343972000</v>
      </c>
      <c r="I264">
        <v>7.9649831613449003</v>
      </c>
      <c r="J264">
        <v>843673766.39999998</v>
      </c>
      <c r="K264">
        <v>51055000</v>
      </c>
      <c r="L264">
        <v>61.144779469965002</v>
      </c>
      <c r="M264">
        <v>68.554463016846597</v>
      </c>
      <c r="N264">
        <v>62.6107395321037</v>
      </c>
      <c r="O264">
        <v>15.4273098289723</v>
      </c>
      <c r="P264">
        <v>58.340170000000001</v>
      </c>
      <c r="Q264">
        <v>48.321689999999997</v>
      </c>
      <c r="R264">
        <v>86600000</v>
      </c>
      <c r="S264" t="s">
        <v>18</v>
      </c>
      <c r="T264">
        <v>1095939000</v>
      </c>
    </row>
    <row r="265" spans="1:20" x14ac:dyDescent="0.2">
      <c r="A265" t="s">
        <v>111</v>
      </c>
      <c r="B265" t="s">
        <v>36</v>
      </c>
      <c r="C265">
        <v>2025</v>
      </c>
      <c r="D265">
        <v>1875214000</v>
      </c>
      <c r="E265">
        <v>787902000</v>
      </c>
      <c r="F265">
        <v>926811000</v>
      </c>
      <c r="G265">
        <v>373998000</v>
      </c>
      <c r="H265">
        <v>473975000</v>
      </c>
      <c r="I265">
        <v>4.8727633761149596</v>
      </c>
      <c r="J265">
        <v>1943421776</v>
      </c>
      <c r="K265">
        <v>59612000</v>
      </c>
      <c r="L265">
        <v>11.9178254401768</v>
      </c>
      <c r="M265">
        <v>69.344232547751801</v>
      </c>
      <c r="N265">
        <v>61.285519339555897</v>
      </c>
      <c r="O265">
        <v>4.4348567940738501</v>
      </c>
      <c r="P265">
        <v>26.07133</v>
      </c>
      <c r="Q265">
        <v>21.509840000000001</v>
      </c>
      <c r="R265">
        <v>165028580</v>
      </c>
      <c r="S265" t="s">
        <v>18</v>
      </c>
      <c r="T265">
        <v>1400356000</v>
      </c>
    </row>
    <row r="266" spans="1:20" x14ac:dyDescent="0.2">
      <c r="A266" t="s">
        <v>109</v>
      </c>
      <c r="B266" t="s">
        <v>37</v>
      </c>
      <c r="C266">
        <v>2004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</row>
    <row r="267" spans="1:20" x14ac:dyDescent="0.2">
      <c r="A267" t="s">
        <v>109</v>
      </c>
      <c r="B267" t="s">
        <v>37</v>
      </c>
      <c r="C267">
        <v>2005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</row>
    <row r="268" spans="1:20" x14ac:dyDescent="0.2">
      <c r="A268" t="s">
        <v>109</v>
      </c>
      <c r="B268" t="s">
        <v>37</v>
      </c>
      <c r="C268">
        <v>2006</v>
      </c>
      <c r="D268" t="s">
        <v>18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</row>
    <row r="269" spans="1:20" x14ac:dyDescent="0.2">
      <c r="A269" t="s">
        <v>109</v>
      </c>
      <c r="B269" t="s">
        <v>37</v>
      </c>
      <c r="C269">
        <v>2007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  <c r="T269" t="s">
        <v>18</v>
      </c>
    </row>
    <row r="270" spans="1:20" x14ac:dyDescent="0.2">
      <c r="A270" t="s">
        <v>109</v>
      </c>
      <c r="B270" t="s">
        <v>37</v>
      </c>
      <c r="C270">
        <v>2008</v>
      </c>
      <c r="D270" t="s">
        <v>18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18</v>
      </c>
      <c r="T270" t="s">
        <v>18</v>
      </c>
    </row>
    <row r="271" spans="1:20" x14ac:dyDescent="0.2">
      <c r="A271" t="s">
        <v>109</v>
      </c>
      <c r="B271" t="s">
        <v>37</v>
      </c>
      <c r="C271">
        <v>2009</v>
      </c>
      <c r="D271" t="s">
        <v>18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</row>
    <row r="272" spans="1:20" x14ac:dyDescent="0.2">
      <c r="A272" t="s">
        <v>109</v>
      </c>
      <c r="B272" t="s">
        <v>37</v>
      </c>
      <c r="C272">
        <v>2010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  <c r="T272" t="s">
        <v>18</v>
      </c>
    </row>
    <row r="273" spans="1:20" x14ac:dyDescent="0.2">
      <c r="A273" t="s">
        <v>109</v>
      </c>
      <c r="B273" t="s">
        <v>37</v>
      </c>
      <c r="C273">
        <v>2011</v>
      </c>
      <c r="D273" t="s">
        <v>18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</row>
    <row r="274" spans="1:20" x14ac:dyDescent="0.2">
      <c r="A274" t="s">
        <v>109</v>
      </c>
      <c r="B274" t="s">
        <v>37</v>
      </c>
      <c r="C274">
        <v>2012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  <c r="T274" t="s">
        <v>18</v>
      </c>
    </row>
    <row r="275" spans="1:20" x14ac:dyDescent="0.2">
      <c r="A275" t="s">
        <v>109</v>
      </c>
      <c r="B275" t="s">
        <v>37</v>
      </c>
      <c r="C275">
        <v>2013</v>
      </c>
      <c r="D275" t="s">
        <v>18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  <c r="T275" t="s">
        <v>18</v>
      </c>
    </row>
    <row r="276" spans="1:20" x14ac:dyDescent="0.2">
      <c r="A276" t="s">
        <v>109</v>
      </c>
      <c r="B276" t="s">
        <v>37</v>
      </c>
      <c r="C276">
        <v>2014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  <c r="T276" t="s">
        <v>18</v>
      </c>
    </row>
    <row r="277" spans="1:20" x14ac:dyDescent="0.2">
      <c r="A277" t="s">
        <v>109</v>
      </c>
      <c r="B277" t="s">
        <v>37</v>
      </c>
      <c r="C277">
        <v>2015</v>
      </c>
      <c r="D277" t="s">
        <v>18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  <c r="T277" t="s">
        <v>18</v>
      </c>
    </row>
    <row r="278" spans="1:20" x14ac:dyDescent="0.2">
      <c r="A278" t="s">
        <v>109</v>
      </c>
      <c r="B278" t="s">
        <v>37</v>
      </c>
      <c r="C278">
        <v>2016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  <c r="S278" t="s">
        <v>18</v>
      </c>
      <c r="T278" t="s">
        <v>18</v>
      </c>
    </row>
    <row r="279" spans="1:20" x14ac:dyDescent="0.2">
      <c r="A279" t="s">
        <v>109</v>
      </c>
      <c r="B279" t="s">
        <v>37</v>
      </c>
      <c r="C279">
        <v>2017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</row>
    <row r="280" spans="1:20" x14ac:dyDescent="0.2">
      <c r="A280" t="s">
        <v>109</v>
      </c>
      <c r="B280" t="s">
        <v>37</v>
      </c>
      <c r="C280">
        <v>2018</v>
      </c>
      <c r="D280">
        <v>137066400</v>
      </c>
      <c r="E280" t="s">
        <v>18</v>
      </c>
      <c r="F280">
        <v>82494452</v>
      </c>
      <c r="G280">
        <v>13145419</v>
      </c>
      <c r="H280">
        <v>28224208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  <c r="T280">
        <v>110718660</v>
      </c>
    </row>
    <row r="281" spans="1:20" x14ac:dyDescent="0.2">
      <c r="A281" t="s">
        <v>109</v>
      </c>
      <c r="B281" t="s">
        <v>37</v>
      </c>
      <c r="C281">
        <v>2019</v>
      </c>
      <c r="D281">
        <v>169809886</v>
      </c>
      <c r="E281" t="s">
        <v>18</v>
      </c>
      <c r="F281">
        <v>111313870</v>
      </c>
      <c r="G281">
        <v>6707457</v>
      </c>
      <c r="H281">
        <v>33426824</v>
      </c>
      <c r="I281" t="s">
        <v>18</v>
      </c>
      <c r="J281" t="s">
        <v>18</v>
      </c>
      <c r="K281">
        <v>5202616</v>
      </c>
      <c r="L281" t="s">
        <v>18</v>
      </c>
      <c r="M281" t="s">
        <v>18</v>
      </c>
      <c r="N281" t="s">
        <v>18</v>
      </c>
      <c r="O281" t="s">
        <v>18</v>
      </c>
      <c r="P281">
        <v>37.951189999999997</v>
      </c>
      <c r="Q281">
        <v>23.532240000000002</v>
      </c>
      <c r="R281" t="s">
        <v>18</v>
      </c>
      <c r="S281" t="s">
        <v>18</v>
      </c>
      <c r="T281">
        <v>144740694</v>
      </c>
    </row>
    <row r="282" spans="1:20" x14ac:dyDescent="0.2">
      <c r="A282" t="s">
        <v>109</v>
      </c>
      <c r="B282" t="s">
        <v>37</v>
      </c>
      <c r="C282">
        <v>2020</v>
      </c>
      <c r="D282">
        <v>204183623</v>
      </c>
      <c r="E282" t="s">
        <v>18</v>
      </c>
      <c r="F282">
        <v>130927468</v>
      </c>
      <c r="G282">
        <v>16107267</v>
      </c>
      <c r="H282">
        <v>39778335</v>
      </c>
      <c r="I282" t="s">
        <v>18</v>
      </c>
      <c r="J282" t="s">
        <v>18</v>
      </c>
      <c r="K282">
        <v>7589130</v>
      </c>
      <c r="L282" t="s">
        <v>18</v>
      </c>
      <c r="M282" t="s">
        <v>18</v>
      </c>
      <c r="N282" t="s">
        <v>18</v>
      </c>
      <c r="O282" t="s">
        <v>18</v>
      </c>
      <c r="P282">
        <v>34.852110000000003</v>
      </c>
      <c r="Q282">
        <v>18.542480000000001</v>
      </c>
      <c r="R282" t="s">
        <v>18</v>
      </c>
      <c r="S282" t="s">
        <v>18</v>
      </c>
      <c r="T282">
        <v>170719256</v>
      </c>
    </row>
    <row r="283" spans="1:20" x14ac:dyDescent="0.2">
      <c r="A283" t="s">
        <v>109</v>
      </c>
      <c r="B283" t="s">
        <v>37</v>
      </c>
      <c r="C283">
        <v>2021</v>
      </c>
      <c r="D283">
        <v>196421477</v>
      </c>
      <c r="E283">
        <v>135130000</v>
      </c>
      <c r="F283">
        <v>96137258</v>
      </c>
      <c r="G283">
        <v>14100666</v>
      </c>
      <c r="H283">
        <v>67296491</v>
      </c>
      <c r="I283">
        <v>2.4470027870168498</v>
      </c>
      <c r="J283">
        <v>748892747.13797498</v>
      </c>
      <c r="K283">
        <v>19004502</v>
      </c>
      <c r="L283">
        <v>37.138298307815901</v>
      </c>
      <c r="M283" t="s">
        <v>18</v>
      </c>
      <c r="N283" t="s">
        <v>18</v>
      </c>
      <c r="O283" t="s">
        <v>18</v>
      </c>
      <c r="P283">
        <v>36.649369999999998</v>
      </c>
      <c r="Q283">
        <v>23.166080000000001</v>
      </c>
      <c r="R283">
        <v>36716000</v>
      </c>
      <c r="S283" t="s">
        <v>18</v>
      </c>
      <c r="T283">
        <v>163448333</v>
      </c>
    </row>
    <row r="284" spans="1:20" x14ac:dyDescent="0.2">
      <c r="A284" t="s">
        <v>109</v>
      </c>
      <c r="B284" t="s">
        <v>37</v>
      </c>
      <c r="C284">
        <v>2022</v>
      </c>
      <c r="D284">
        <v>1004957181</v>
      </c>
      <c r="E284">
        <v>274685000</v>
      </c>
      <c r="F284">
        <v>508312453</v>
      </c>
      <c r="G284">
        <v>258757013</v>
      </c>
      <c r="H284">
        <v>309849954</v>
      </c>
      <c r="I284">
        <v>2.8171887155915498</v>
      </c>
      <c r="J284">
        <v>1134227724.9000001</v>
      </c>
      <c r="K284">
        <v>13824758</v>
      </c>
      <c r="L284">
        <v>39.358266559809699</v>
      </c>
      <c r="M284" t="s">
        <v>18</v>
      </c>
      <c r="N284" t="s">
        <v>18</v>
      </c>
      <c r="O284">
        <v>1347.0534688324799</v>
      </c>
      <c r="P284">
        <v>40.151769999999999</v>
      </c>
      <c r="Q284">
        <v>21.79205</v>
      </c>
      <c r="R284">
        <v>69053750</v>
      </c>
      <c r="S284">
        <v>87.692800000000005</v>
      </c>
      <c r="T284">
        <v>858678392</v>
      </c>
    </row>
    <row r="285" spans="1:20" x14ac:dyDescent="0.2">
      <c r="A285" t="s">
        <v>109</v>
      </c>
      <c r="B285" t="s">
        <v>37</v>
      </c>
      <c r="C285">
        <v>2023</v>
      </c>
      <c r="D285">
        <v>1530257280</v>
      </c>
      <c r="E285">
        <v>662333330</v>
      </c>
      <c r="F285">
        <v>828726205</v>
      </c>
      <c r="G285">
        <v>380992703</v>
      </c>
      <c r="H285">
        <v>418440546</v>
      </c>
      <c r="I285">
        <v>6.1604555246273698</v>
      </c>
      <c r="J285">
        <v>981837619.52999997</v>
      </c>
      <c r="K285">
        <v>26471993</v>
      </c>
      <c r="L285">
        <v>67.228988102402994</v>
      </c>
      <c r="M285" t="s">
        <v>18</v>
      </c>
      <c r="N285">
        <v>51.589693234969303</v>
      </c>
      <c r="O285">
        <v>393.123651769584</v>
      </c>
      <c r="P285">
        <v>29.631900000000002</v>
      </c>
      <c r="Q285">
        <v>13.05585</v>
      </c>
      <c r="R285">
        <v>60405000</v>
      </c>
      <c r="S285">
        <v>84.683800000000005</v>
      </c>
      <c r="T285">
        <v>1294501895</v>
      </c>
    </row>
    <row r="286" spans="1:20" x14ac:dyDescent="0.2">
      <c r="A286" t="s">
        <v>109</v>
      </c>
      <c r="B286" t="s">
        <v>37</v>
      </c>
      <c r="C286">
        <v>2024</v>
      </c>
      <c r="D286">
        <v>2287383625</v>
      </c>
      <c r="E286" t="s">
        <v>18</v>
      </c>
      <c r="F286">
        <v>1350937803</v>
      </c>
      <c r="G286">
        <v>463516634</v>
      </c>
      <c r="H286">
        <v>461584525</v>
      </c>
      <c r="I286" t="s">
        <v>18</v>
      </c>
      <c r="J286">
        <v>1341786833.76</v>
      </c>
      <c r="K286">
        <v>9107675</v>
      </c>
      <c r="L286" t="s">
        <v>18</v>
      </c>
      <c r="M286">
        <v>52.124187730492302</v>
      </c>
      <c r="N286">
        <v>59.5079865968533</v>
      </c>
      <c r="O286" t="s">
        <v>18</v>
      </c>
      <c r="P286">
        <v>24.104970000000002</v>
      </c>
      <c r="Q286">
        <v>10.19049</v>
      </c>
      <c r="R286" t="s">
        <v>18</v>
      </c>
      <c r="S286">
        <v>84.652600000000007</v>
      </c>
      <c r="T286">
        <v>1923283540</v>
      </c>
    </row>
    <row r="287" spans="1:20" x14ac:dyDescent="0.2">
      <c r="A287" t="s">
        <v>109</v>
      </c>
      <c r="B287" t="s">
        <v>37</v>
      </c>
      <c r="C287">
        <v>2025</v>
      </c>
      <c r="D287">
        <v>3295882652</v>
      </c>
      <c r="E287" t="s">
        <v>18</v>
      </c>
      <c r="F287">
        <v>2103084788</v>
      </c>
      <c r="G287">
        <v>326818129</v>
      </c>
      <c r="H287">
        <v>566067038</v>
      </c>
      <c r="I287" t="s">
        <v>18</v>
      </c>
      <c r="J287">
        <v>1341786833.76</v>
      </c>
      <c r="K287">
        <v>-122044852</v>
      </c>
      <c r="L287" t="s">
        <v>18</v>
      </c>
      <c r="M287">
        <v>69.043599593241495</v>
      </c>
      <c r="N287">
        <v>67.562022575618599</v>
      </c>
      <c r="O287" t="s">
        <v>18</v>
      </c>
      <c r="P287">
        <v>-6.2458200000000001</v>
      </c>
      <c r="Q287">
        <v>-24.316459999999999</v>
      </c>
      <c r="R287" t="s">
        <v>18</v>
      </c>
      <c r="S287">
        <v>84.652600000000007</v>
      </c>
      <c r="T287">
        <v>2739720645</v>
      </c>
    </row>
    <row r="288" spans="1:20" x14ac:dyDescent="0.2">
      <c r="A288" t="s">
        <v>112</v>
      </c>
      <c r="B288" t="s">
        <v>38</v>
      </c>
      <c r="C288">
        <v>2004</v>
      </c>
      <c r="D288">
        <v>24432965000</v>
      </c>
      <c r="E288">
        <v>10866217380</v>
      </c>
      <c r="F288">
        <v>10653957000</v>
      </c>
      <c r="G288">
        <v>109591000</v>
      </c>
      <c r="H288">
        <v>8225398000</v>
      </c>
      <c r="I288" t="s">
        <v>18</v>
      </c>
      <c r="J288">
        <v>15958757427.097099</v>
      </c>
      <c r="K288">
        <v>940698000</v>
      </c>
      <c r="L288" t="s">
        <v>18</v>
      </c>
      <c r="M288" t="s">
        <v>18</v>
      </c>
      <c r="N288">
        <v>57.520049368590598</v>
      </c>
      <c r="O288" t="s">
        <v>18</v>
      </c>
      <c r="P288">
        <v>28.171659999999999</v>
      </c>
      <c r="Q288">
        <v>19.291499999999999</v>
      </c>
      <c r="R288">
        <v>2021351040</v>
      </c>
      <c r="S288" t="s">
        <v>18</v>
      </c>
      <c r="T288">
        <v>18960236000</v>
      </c>
    </row>
    <row r="289" spans="1:20" x14ac:dyDescent="0.2">
      <c r="A289" t="s">
        <v>112</v>
      </c>
      <c r="B289" t="s">
        <v>38</v>
      </c>
      <c r="C289">
        <v>2005</v>
      </c>
      <c r="D289">
        <v>26188839000</v>
      </c>
      <c r="E289">
        <v>11012666670</v>
      </c>
      <c r="F289">
        <v>10842150000</v>
      </c>
      <c r="G289">
        <v>134102000</v>
      </c>
      <c r="H289">
        <v>8426458000</v>
      </c>
      <c r="I289" t="s">
        <v>18</v>
      </c>
      <c r="J289">
        <v>20102498898.731098</v>
      </c>
      <c r="K289">
        <v>1164471000</v>
      </c>
      <c r="L289" t="s">
        <v>18</v>
      </c>
      <c r="M289" t="s">
        <v>18</v>
      </c>
      <c r="N289">
        <v>49.491103090172302</v>
      </c>
      <c r="O289" t="s">
        <v>18</v>
      </c>
      <c r="P289">
        <v>34.592210000000001</v>
      </c>
      <c r="Q289">
        <v>22.809670000000001</v>
      </c>
      <c r="R289">
        <v>2240020000</v>
      </c>
      <c r="S289" t="s">
        <v>18</v>
      </c>
      <c r="T289">
        <v>19362000000</v>
      </c>
    </row>
    <row r="290" spans="1:20" x14ac:dyDescent="0.2">
      <c r="A290" t="s">
        <v>112</v>
      </c>
      <c r="B290" t="s">
        <v>38</v>
      </c>
      <c r="C290">
        <v>2006</v>
      </c>
      <c r="D290">
        <v>30478660000</v>
      </c>
      <c r="E290">
        <v>12728414650</v>
      </c>
      <c r="F290">
        <v>12935024000</v>
      </c>
      <c r="G290">
        <v>208420000</v>
      </c>
      <c r="H290">
        <v>9267653000</v>
      </c>
      <c r="I290" t="s">
        <v>18</v>
      </c>
      <c r="J290">
        <v>29452705966.676102</v>
      </c>
      <c r="K290">
        <v>1370139000</v>
      </c>
      <c r="L290" t="s">
        <v>18</v>
      </c>
      <c r="M290">
        <v>20.333106402475298</v>
      </c>
      <c r="N290">
        <v>69.862898737709699</v>
      </c>
      <c r="O290" t="s">
        <v>18</v>
      </c>
      <c r="P290">
        <v>30.78274</v>
      </c>
      <c r="Q290">
        <v>19.27223</v>
      </c>
      <c r="R290">
        <v>2767472600</v>
      </c>
      <c r="S290" t="s">
        <v>18</v>
      </c>
      <c r="T290">
        <v>22349679000</v>
      </c>
    </row>
    <row r="291" spans="1:20" x14ac:dyDescent="0.2">
      <c r="A291" t="s">
        <v>112</v>
      </c>
      <c r="B291" t="s">
        <v>38</v>
      </c>
      <c r="C291">
        <v>2007</v>
      </c>
      <c r="D291">
        <v>33060843000</v>
      </c>
      <c r="E291">
        <v>24525513170</v>
      </c>
      <c r="F291">
        <v>14240570000</v>
      </c>
      <c r="G291">
        <v>704574000</v>
      </c>
      <c r="H291">
        <v>10418214000</v>
      </c>
      <c r="I291" t="s">
        <v>18</v>
      </c>
      <c r="J291">
        <v>55748748872.729698</v>
      </c>
      <c r="K291">
        <v>1621800000</v>
      </c>
      <c r="L291" t="s">
        <v>18</v>
      </c>
      <c r="M291">
        <v>4.76566901439275</v>
      </c>
      <c r="N291">
        <v>91.850663826770798</v>
      </c>
      <c r="O291" t="s">
        <v>18</v>
      </c>
      <c r="P291">
        <v>36.757599999999996</v>
      </c>
      <c r="Q291">
        <v>24.093229999999998</v>
      </c>
      <c r="R291">
        <v>4054980440</v>
      </c>
      <c r="S291" t="s">
        <v>18</v>
      </c>
      <c r="T291">
        <v>24807573000</v>
      </c>
    </row>
    <row r="292" spans="1:20" x14ac:dyDescent="0.2">
      <c r="A292" t="s">
        <v>112</v>
      </c>
      <c r="B292" t="s">
        <v>38</v>
      </c>
      <c r="C292">
        <v>2008</v>
      </c>
      <c r="D292">
        <v>67532361000</v>
      </c>
      <c r="E292">
        <v>26237443310</v>
      </c>
      <c r="F292">
        <v>22450654000</v>
      </c>
      <c r="G292">
        <v>980577000</v>
      </c>
      <c r="H292">
        <v>25537218000</v>
      </c>
      <c r="I292" t="s">
        <v>18</v>
      </c>
      <c r="J292">
        <v>26609160586.807301</v>
      </c>
      <c r="K292">
        <v>2355586000</v>
      </c>
      <c r="L292" t="s">
        <v>18</v>
      </c>
      <c r="M292">
        <v>17.632667072311701</v>
      </c>
      <c r="N292">
        <v>82.144774670415003</v>
      </c>
      <c r="O292" t="s">
        <v>18</v>
      </c>
      <c r="P292">
        <v>32.266100000000002</v>
      </c>
      <c r="Q292">
        <v>21.16703</v>
      </c>
      <c r="R292">
        <v>4874069770</v>
      </c>
      <c r="S292" t="s">
        <v>18</v>
      </c>
      <c r="T292">
        <v>50282356000</v>
      </c>
    </row>
    <row r="293" spans="1:20" x14ac:dyDescent="0.2">
      <c r="A293" t="s">
        <v>112</v>
      </c>
      <c r="B293" t="s">
        <v>38</v>
      </c>
      <c r="C293">
        <v>2009</v>
      </c>
      <c r="D293">
        <v>85604170000</v>
      </c>
      <c r="E293">
        <v>27338666460</v>
      </c>
      <c r="F293">
        <v>32040412000</v>
      </c>
      <c r="G293">
        <v>2086614000</v>
      </c>
      <c r="H293">
        <v>23364585000</v>
      </c>
      <c r="I293" t="s">
        <v>18</v>
      </c>
      <c r="J293">
        <v>33401935181.079601</v>
      </c>
      <c r="K293">
        <v>2895327000</v>
      </c>
      <c r="L293" t="s">
        <v>18</v>
      </c>
      <c r="M293">
        <v>31.139753816910599</v>
      </c>
      <c r="N293">
        <v>86.463482490610602</v>
      </c>
      <c r="O293" t="s">
        <v>18</v>
      </c>
      <c r="P293">
        <v>26.11251</v>
      </c>
      <c r="Q293">
        <v>16.91338</v>
      </c>
      <c r="R293">
        <v>4740444430</v>
      </c>
      <c r="S293">
        <v>7.4946999999999999</v>
      </c>
      <c r="T293">
        <v>57749478000</v>
      </c>
    </row>
    <row r="294" spans="1:20" x14ac:dyDescent="0.2">
      <c r="A294" t="s">
        <v>112</v>
      </c>
      <c r="B294" t="s">
        <v>38</v>
      </c>
      <c r="C294">
        <v>2010</v>
      </c>
      <c r="D294">
        <v>87010994000</v>
      </c>
      <c r="E294">
        <v>28261580650</v>
      </c>
      <c r="F294">
        <v>31583146000</v>
      </c>
      <c r="G294">
        <v>1090619000</v>
      </c>
      <c r="H294">
        <v>26636654000</v>
      </c>
      <c r="I294" t="s">
        <v>18</v>
      </c>
      <c r="J294">
        <v>29107875338.746201</v>
      </c>
      <c r="K294">
        <v>2906251000</v>
      </c>
      <c r="L294" t="s">
        <v>18</v>
      </c>
      <c r="M294">
        <v>18.4026584954578</v>
      </c>
      <c r="N294">
        <v>90.309109007180297</v>
      </c>
      <c r="O294" t="s">
        <v>18</v>
      </c>
      <c r="P294">
        <v>27.204750000000001</v>
      </c>
      <c r="Q294">
        <v>17.415389999999999</v>
      </c>
      <c r="R294">
        <v>4872212590</v>
      </c>
      <c r="S294">
        <v>6.4246999999999996</v>
      </c>
      <c r="T294">
        <v>60612998000</v>
      </c>
    </row>
    <row r="295" spans="1:20" x14ac:dyDescent="0.2">
      <c r="A295" t="s">
        <v>112</v>
      </c>
      <c r="B295" t="s">
        <v>38</v>
      </c>
      <c r="C295">
        <v>2011</v>
      </c>
      <c r="D295">
        <v>93700952000</v>
      </c>
      <c r="E295">
        <v>29791607390</v>
      </c>
      <c r="F295">
        <v>32471128000</v>
      </c>
      <c r="G295">
        <v>2671218000</v>
      </c>
      <c r="H295">
        <v>29078799000</v>
      </c>
      <c r="I295" t="s">
        <v>18</v>
      </c>
      <c r="J295">
        <v>28971932770.316898</v>
      </c>
      <c r="K295">
        <v>2914459000</v>
      </c>
      <c r="L295" t="s">
        <v>18</v>
      </c>
      <c r="M295">
        <v>21.378272614215199</v>
      </c>
      <c r="N295">
        <v>83.709080705964894</v>
      </c>
      <c r="O295" t="s">
        <v>18</v>
      </c>
      <c r="P295">
        <v>25.476240000000001</v>
      </c>
      <c r="Q295">
        <v>15.87176</v>
      </c>
      <c r="R295">
        <v>5073314780</v>
      </c>
      <c r="S295">
        <v>7.1101999999999999</v>
      </c>
      <c r="T295">
        <v>64134198000</v>
      </c>
    </row>
    <row r="296" spans="1:20" x14ac:dyDescent="0.2">
      <c r="A296" t="s">
        <v>112</v>
      </c>
      <c r="B296" t="s">
        <v>38</v>
      </c>
      <c r="C296">
        <v>2012</v>
      </c>
      <c r="D296">
        <v>97016529000</v>
      </c>
      <c r="E296">
        <v>30600944650</v>
      </c>
      <c r="F296">
        <v>33810837000</v>
      </c>
      <c r="G296">
        <v>2091007000</v>
      </c>
      <c r="H296">
        <v>32029029000</v>
      </c>
      <c r="I296" t="s">
        <v>18</v>
      </c>
      <c r="J296">
        <v>23229432597.4179</v>
      </c>
      <c r="K296">
        <v>2939772000</v>
      </c>
      <c r="L296" t="s">
        <v>18</v>
      </c>
      <c r="M296">
        <v>12.800084295241501</v>
      </c>
      <c r="N296">
        <v>86.891649148230897</v>
      </c>
      <c r="O296" t="s">
        <v>18</v>
      </c>
      <c r="P296">
        <v>24.534400000000002</v>
      </c>
      <c r="Q296">
        <v>14.23498</v>
      </c>
      <c r="R296">
        <v>4764810290</v>
      </c>
      <c r="S296">
        <v>6.8250999999999999</v>
      </c>
      <c r="T296">
        <v>66159793000</v>
      </c>
    </row>
    <row r="297" spans="1:20" x14ac:dyDescent="0.2">
      <c r="A297" t="s">
        <v>112</v>
      </c>
      <c r="B297" t="s">
        <v>38</v>
      </c>
      <c r="C297">
        <v>2013</v>
      </c>
      <c r="D297">
        <v>94122851000</v>
      </c>
      <c r="E297">
        <v>26731355040</v>
      </c>
      <c r="F297">
        <v>31752354000</v>
      </c>
      <c r="G297">
        <v>2283963000</v>
      </c>
      <c r="H297">
        <v>32882120000</v>
      </c>
      <c r="I297" t="s">
        <v>18</v>
      </c>
      <c r="J297">
        <v>28977143777.294701</v>
      </c>
      <c r="K297">
        <v>2980489000</v>
      </c>
      <c r="L297" t="s">
        <v>18</v>
      </c>
      <c r="M297">
        <v>-2.9848339685926701</v>
      </c>
      <c r="N297">
        <v>83.973251689228107</v>
      </c>
      <c r="O297" t="s">
        <v>18</v>
      </c>
      <c r="P297">
        <v>24.188469999999999</v>
      </c>
      <c r="Q297">
        <v>13.48099</v>
      </c>
      <c r="R297">
        <v>3226513970</v>
      </c>
      <c r="S297">
        <v>6.9466999999999999</v>
      </c>
      <c r="T297">
        <v>64882110000</v>
      </c>
    </row>
    <row r="298" spans="1:20" x14ac:dyDescent="0.2">
      <c r="A298" t="s">
        <v>112</v>
      </c>
      <c r="B298" t="s">
        <v>38</v>
      </c>
      <c r="C298">
        <v>2014</v>
      </c>
      <c r="D298">
        <v>89786879000</v>
      </c>
      <c r="E298">
        <v>25241880360</v>
      </c>
      <c r="F298">
        <v>27992210000</v>
      </c>
      <c r="G298">
        <v>1331735000</v>
      </c>
      <c r="H298">
        <v>34584689000</v>
      </c>
      <c r="I298">
        <v>3.6955877509857702</v>
      </c>
      <c r="J298">
        <v>37117950856.495399</v>
      </c>
      <c r="K298">
        <v>2397832000</v>
      </c>
      <c r="L298">
        <v>2.4326497619674301</v>
      </c>
      <c r="M298">
        <v>-14.4608347642227</v>
      </c>
      <c r="N298">
        <v>84.534848353362406</v>
      </c>
      <c r="O298">
        <v>-11.244225806479299</v>
      </c>
      <c r="P298">
        <v>28.766780000000001</v>
      </c>
      <c r="Q298">
        <v>12.93816</v>
      </c>
      <c r="R298">
        <v>3973776810</v>
      </c>
      <c r="S298">
        <v>15.661300000000001</v>
      </c>
      <c r="T298">
        <v>63280806000</v>
      </c>
    </row>
    <row r="299" spans="1:20" x14ac:dyDescent="0.2">
      <c r="A299" t="s">
        <v>112</v>
      </c>
      <c r="B299" t="s">
        <v>38</v>
      </c>
      <c r="C299">
        <v>2015</v>
      </c>
      <c r="D299">
        <v>93742388000</v>
      </c>
      <c r="E299">
        <v>25946428900</v>
      </c>
      <c r="F299">
        <v>27420621000</v>
      </c>
      <c r="G299">
        <v>1805533000</v>
      </c>
      <c r="H299">
        <v>34954490000</v>
      </c>
      <c r="I299">
        <v>3.5672431210237101</v>
      </c>
      <c r="J299">
        <v>41472880549.078003</v>
      </c>
      <c r="K299">
        <v>2229304000</v>
      </c>
      <c r="L299">
        <v>1.7870109617933401</v>
      </c>
      <c r="M299">
        <v>-6.3309707689958898</v>
      </c>
      <c r="N299">
        <v>87.247710118621796</v>
      </c>
      <c r="O299">
        <v>-5.26813097160744</v>
      </c>
      <c r="P299">
        <v>23.590340000000001</v>
      </c>
      <c r="Q299">
        <v>14.0009</v>
      </c>
      <c r="R299">
        <v>4179017490</v>
      </c>
      <c r="S299">
        <v>15.230700000000001</v>
      </c>
      <c r="T299">
        <v>63125919000</v>
      </c>
    </row>
    <row r="300" spans="1:20" x14ac:dyDescent="0.2">
      <c r="A300" t="s">
        <v>112</v>
      </c>
      <c r="B300" t="s">
        <v>38</v>
      </c>
      <c r="C300">
        <v>2016</v>
      </c>
      <c r="D300">
        <v>104664182000</v>
      </c>
      <c r="E300">
        <v>28587403960</v>
      </c>
      <c r="F300">
        <v>29359923000</v>
      </c>
      <c r="G300">
        <v>1153273000</v>
      </c>
      <c r="H300">
        <v>37158658000</v>
      </c>
      <c r="I300">
        <v>3.7321456773269999</v>
      </c>
      <c r="J300">
        <v>35621281334.301598</v>
      </c>
      <c r="K300">
        <v>2388633000</v>
      </c>
      <c r="L300">
        <v>3.9449247209630598</v>
      </c>
      <c r="M300">
        <v>-5.9143358864527196</v>
      </c>
      <c r="N300">
        <v>90.191934552761893</v>
      </c>
      <c r="O300">
        <v>16.980823964911998</v>
      </c>
      <c r="P300">
        <v>23.20279</v>
      </c>
      <c r="Q300">
        <v>13.38087</v>
      </c>
      <c r="R300">
        <v>4467219830</v>
      </c>
      <c r="S300">
        <v>14.92</v>
      </c>
      <c r="T300">
        <v>70315976000</v>
      </c>
    </row>
    <row r="301" spans="1:20" x14ac:dyDescent="0.2">
      <c r="A301" t="s">
        <v>112</v>
      </c>
      <c r="B301" t="s">
        <v>38</v>
      </c>
      <c r="C301">
        <v>2017</v>
      </c>
      <c r="D301">
        <v>106706220000</v>
      </c>
      <c r="E301">
        <v>33112779630</v>
      </c>
      <c r="F301">
        <v>30939362000</v>
      </c>
      <c r="G301">
        <v>1432686000</v>
      </c>
      <c r="H301">
        <v>36690965000</v>
      </c>
      <c r="I301">
        <v>4.2676958686239601</v>
      </c>
      <c r="J301">
        <v>41543962470.076302</v>
      </c>
      <c r="K301">
        <v>2896246000</v>
      </c>
      <c r="L301">
        <v>15.543503935213201</v>
      </c>
      <c r="M301">
        <v>1.5492756446278799</v>
      </c>
      <c r="N301">
        <v>84.947425856477594</v>
      </c>
      <c r="O301">
        <v>26.2633925996386</v>
      </c>
      <c r="P301">
        <v>26.866340000000001</v>
      </c>
      <c r="Q301">
        <v>16.439450000000001</v>
      </c>
      <c r="R301">
        <v>4500759390</v>
      </c>
      <c r="S301">
        <v>14.6593</v>
      </c>
      <c r="T301">
        <v>71626751000</v>
      </c>
    </row>
    <row r="302" spans="1:20" x14ac:dyDescent="0.2">
      <c r="A302" t="s">
        <v>112</v>
      </c>
      <c r="B302" t="s">
        <v>38</v>
      </c>
      <c r="C302">
        <v>2018</v>
      </c>
      <c r="D302">
        <v>110688559000</v>
      </c>
      <c r="E302">
        <v>34234578180</v>
      </c>
      <c r="F302">
        <v>36328619000</v>
      </c>
      <c r="G302">
        <v>3197340000</v>
      </c>
      <c r="H302">
        <v>35509260000</v>
      </c>
      <c r="I302">
        <v>3.77070633044519</v>
      </c>
      <c r="J302">
        <v>42160373432.6698</v>
      </c>
      <c r="K302">
        <v>3451710000</v>
      </c>
      <c r="L302">
        <v>5.0062994452501099</v>
      </c>
      <c r="M302">
        <v>6.4599197157686499</v>
      </c>
      <c r="N302">
        <v>89.202836766471194</v>
      </c>
      <c r="O302">
        <v>5.3095028360645298</v>
      </c>
      <c r="P302">
        <v>22.56626</v>
      </c>
      <c r="Q302">
        <v>12.731159999999999</v>
      </c>
      <c r="R302">
        <v>5290624550</v>
      </c>
      <c r="S302">
        <v>10.909000000000001</v>
      </c>
      <c r="T302">
        <v>79061805000</v>
      </c>
    </row>
    <row r="303" spans="1:20" x14ac:dyDescent="0.2">
      <c r="A303" t="s">
        <v>112</v>
      </c>
      <c r="B303" t="s">
        <v>38</v>
      </c>
      <c r="C303">
        <v>2019</v>
      </c>
      <c r="D303">
        <v>113037923000</v>
      </c>
      <c r="E303">
        <v>36582604050</v>
      </c>
      <c r="F303">
        <v>37503701000</v>
      </c>
      <c r="G303">
        <v>2801157000</v>
      </c>
      <c r="H303">
        <v>36582199000</v>
      </c>
      <c r="I303">
        <v>3.6196267889195899</v>
      </c>
      <c r="J303">
        <v>56800554909.906403</v>
      </c>
      <c r="K303">
        <v>3332631000</v>
      </c>
      <c r="L303">
        <v>4.9214547706541403</v>
      </c>
      <c r="M303">
        <v>13.3196350250791</v>
      </c>
      <c r="N303">
        <v>85.855041316425798</v>
      </c>
      <c r="O303">
        <v>27.631479978331701</v>
      </c>
      <c r="P303">
        <v>25.832190000000001</v>
      </c>
      <c r="Q303">
        <v>16.029820000000001</v>
      </c>
      <c r="R303">
        <v>5952506710</v>
      </c>
      <c r="S303">
        <v>8.8541000000000007</v>
      </c>
      <c r="T303">
        <v>81480255000</v>
      </c>
    </row>
    <row r="304" spans="1:20" x14ac:dyDescent="0.2">
      <c r="A304" t="s">
        <v>112</v>
      </c>
      <c r="B304" t="s">
        <v>38</v>
      </c>
      <c r="C304">
        <v>2020</v>
      </c>
      <c r="D304">
        <v>122369006000</v>
      </c>
      <c r="E304">
        <v>39676943330</v>
      </c>
      <c r="F304">
        <v>40524293000</v>
      </c>
      <c r="G304">
        <v>2113279000</v>
      </c>
      <c r="H304">
        <v>37678307000</v>
      </c>
      <c r="I304">
        <v>3.9113687850358301</v>
      </c>
      <c r="J304">
        <v>71914395405.8349</v>
      </c>
      <c r="K304">
        <v>3865913000</v>
      </c>
      <c r="L304">
        <v>5.2244322347848602</v>
      </c>
      <c r="M304">
        <v>9.3694179064050402</v>
      </c>
      <c r="N304">
        <v>85.980818787909996</v>
      </c>
      <c r="O304">
        <v>72.541957493401</v>
      </c>
      <c r="P304">
        <v>26.681419999999999</v>
      </c>
      <c r="Q304">
        <v>16.074459999999998</v>
      </c>
      <c r="R304">
        <v>5990599330</v>
      </c>
      <c r="S304">
        <v>9.2743000000000002</v>
      </c>
      <c r="T304">
        <v>87718958000</v>
      </c>
    </row>
    <row r="305" spans="1:20" x14ac:dyDescent="0.2">
      <c r="A305" t="s">
        <v>112</v>
      </c>
      <c r="B305" t="s">
        <v>38</v>
      </c>
      <c r="C305">
        <v>2021</v>
      </c>
      <c r="D305">
        <v>122518000000</v>
      </c>
      <c r="E305">
        <v>43551989550</v>
      </c>
      <c r="F305">
        <v>40160000000</v>
      </c>
      <c r="G305">
        <v>3427000000</v>
      </c>
      <c r="H305">
        <v>35412000000</v>
      </c>
      <c r="I305">
        <v>3.9722473186464402</v>
      </c>
      <c r="J305">
        <v>64042812635.5186</v>
      </c>
      <c r="K305">
        <v>3975000000</v>
      </c>
      <c r="L305">
        <v>7.7752946176170399</v>
      </c>
      <c r="M305">
        <v>7.4136273258742698</v>
      </c>
      <c r="N305">
        <v>80.496570651589394</v>
      </c>
      <c r="O305">
        <v>100.856825346901</v>
      </c>
      <c r="P305">
        <v>28.82788</v>
      </c>
      <c r="Q305">
        <v>16.862269999999999</v>
      </c>
      <c r="R305">
        <v>6550992580</v>
      </c>
      <c r="S305">
        <v>12.290900000000001</v>
      </c>
      <c r="T305">
        <v>87378000000</v>
      </c>
    </row>
    <row r="306" spans="1:20" x14ac:dyDescent="0.2">
      <c r="A306" t="s">
        <v>112</v>
      </c>
      <c r="B306" t="s">
        <v>38</v>
      </c>
      <c r="C306">
        <v>2022</v>
      </c>
      <c r="D306">
        <v>141752000000</v>
      </c>
      <c r="E306">
        <v>46463250220</v>
      </c>
      <c r="F306">
        <v>43874000000</v>
      </c>
      <c r="G306">
        <v>4033000000</v>
      </c>
      <c r="H306">
        <v>40479000000</v>
      </c>
      <c r="I306">
        <v>3.4574475027904201</v>
      </c>
      <c r="J306">
        <v>69442235346.9561</v>
      </c>
      <c r="K306">
        <v>4426000000</v>
      </c>
      <c r="L306">
        <v>3.6059139504756299</v>
      </c>
      <c r="M306">
        <v>7.1049356583479097</v>
      </c>
      <c r="N306">
        <v>80.695452972092397</v>
      </c>
      <c r="O306">
        <v>39.705944523470798</v>
      </c>
      <c r="P306">
        <v>29.557189999999999</v>
      </c>
      <c r="Q306">
        <v>18.844909999999999</v>
      </c>
      <c r="R306">
        <v>7802518520</v>
      </c>
      <c r="S306">
        <v>18.436</v>
      </c>
      <c r="T306">
        <v>100000000000</v>
      </c>
    </row>
    <row r="307" spans="1:20" x14ac:dyDescent="0.2">
      <c r="A307" t="s">
        <v>112</v>
      </c>
      <c r="B307" t="s">
        <v>38</v>
      </c>
      <c r="C307">
        <v>2023</v>
      </c>
      <c r="D307">
        <v>150114000000</v>
      </c>
      <c r="E307">
        <v>44049608690</v>
      </c>
      <c r="F307">
        <v>49280000000</v>
      </c>
      <c r="G307">
        <v>4608000000</v>
      </c>
      <c r="H307">
        <v>41119000000</v>
      </c>
      <c r="I307">
        <v>2.9924287228786901</v>
      </c>
      <c r="J307">
        <v>72551870894.612701</v>
      </c>
      <c r="K307">
        <v>4985000000</v>
      </c>
      <c r="L307">
        <v>-3.7184976800166401</v>
      </c>
      <c r="M307">
        <v>2.0726028661319802</v>
      </c>
      <c r="N307">
        <v>80.0823539778808</v>
      </c>
      <c r="O307">
        <v>62.310964154851</v>
      </c>
      <c r="P307">
        <v>23.474019999999999</v>
      </c>
      <c r="Q307">
        <v>14.80472</v>
      </c>
      <c r="R307">
        <v>9211461690</v>
      </c>
      <c r="S307">
        <v>16.642099999999999</v>
      </c>
      <c r="T307">
        <v>107394000000</v>
      </c>
    </row>
    <row r="308" spans="1:20" x14ac:dyDescent="0.2">
      <c r="A308" t="s">
        <v>112</v>
      </c>
      <c r="B308" t="s">
        <v>38</v>
      </c>
      <c r="C308">
        <v>2024</v>
      </c>
      <c r="D308">
        <v>150033000000</v>
      </c>
      <c r="E308">
        <v>49068387250</v>
      </c>
      <c r="F308">
        <v>51058000000</v>
      </c>
      <c r="G308">
        <v>3019000000</v>
      </c>
      <c r="H308">
        <v>43111000000</v>
      </c>
      <c r="I308">
        <v>3.0417409343109099</v>
      </c>
      <c r="J308">
        <v>85853679622.806107</v>
      </c>
      <c r="K308">
        <v>5176000000</v>
      </c>
      <c r="L308">
        <v>4.5254816625367198</v>
      </c>
      <c r="M308">
        <v>4.4003566527759403</v>
      </c>
      <c r="N308">
        <v>83.172172497030999</v>
      </c>
      <c r="O308">
        <v>63.094120229007601</v>
      </c>
      <c r="P308">
        <v>27.815950000000001</v>
      </c>
      <c r="Q308">
        <v>18.293299999999999</v>
      </c>
      <c r="R308">
        <v>10463040230</v>
      </c>
      <c r="S308">
        <v>16.136600000000001</v>
      </c>
      <c r="T308">
        <v>111350000000</v>
      </c>
    </row>
    <row r="309" spans="1:20" x14ac:dyDescent="0.2">
      <c r="A309" t="s">
        <v>112</v>
      </c>
      <c r="B309" t="s">
        <v>38</v>
      </c>
      <c r="C309">
        <v>2025</v>
      </c>
      <c r="D309">
        <v>158293000000</v>
      </c>
      <c r="E309">
        <v>47069359400</v>
      </c>
      <c r="F309">
        <v>57294000000</v>
      </c>
      <c r="G309">
        <v>4082000000</v>
      </c>
      <c r="H309">
        <v>47125000000</v>
      </c>
      <c r="I309">
        <v>3.0848399071282699</v>
      </c>
      <c r="J309">
        <v>119894588079.44901</v>
      </c>
      <c r="K309">
        <v>6004000000</v>
      </c>
      <c r="L309">
        <v>4.2028924738523002E-2</v>
      </c>
      <c r="M309">
        <v>8.4590188975545395</v>
      </c>
      <c r="N309">
        <v>79.490424426640502</v>
      </c>
      <c r="O309">
        <v>59.329759556425302</v>
      </c>
      <c r="P309">
        <v>36.433540000000001</v>
      </c>
      <c r="Q309">
        <v>25.250900000000001</v>
      </c>
      <c r="R309">
        <v>10546336150</v>
      </c>
      <c r="S309">
        <v>19.249600000000001</v>
      </c>
      <c r="T309">
        <v>118345000000</v>
      </c>
    </row>
    <row r="310" spans="1:20" x14ac:dyDescent="0.2">
      <c r="A310" t="s">
        <v>113</v>
      </c>
      <c r="B310" t="s">
        <v>39</v>
      </c>
      <c r="C310">
        <v>2004</v>
      </c>
      <c r="D310" t="s">
        <v>18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>
        <v>93927461.567125902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  <c r="T310" t="s">
        <v>18</v>
      </c>
    </row>
    <row r="311" spans="1:20" x14ac:dyDescent="0.2">
      <c r="A311" t="s">
        <v>113</v>
      </c>
      <c r="B311" t="s">
        <v>39</v>
      </c>
      <c r="C311">
        <v>2005</v>
      </c>
      <c r="D311">
        <v>12752612.1444514</v>
      </c>
      <c r="E311" t="s">
        <v>18</v>
      </c>
      <c r="F311">
        <v>0</v>
      </c>
      <c r="G311">
        <v>286059.29147828103</v>
      </c>
      <c r="H311">
        <v>12513982.3728038</v>
      </c>
      <c r="I311" t="s">
        <v>18</v>
      </c>
      <c r="J311">
        <v>184998908.91538501</v>
      </c>
      <c r="K311">
        <v>-1850542.8666302401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  <c r="S311" t="s">
        <v>18</v>
      </c>
      <c r="T311">
        <v>12513982.3728038</v>
      </c>
    </row>
    <row r="312" spans="1:20" x14ac:dyDescent="0.2">
      <c r="A312" t="s">
        <v>113</v>
      </c>
      <c r="B312" t="s">
        <v>39</v>
      </c>
      <c r="C312">
        <v>2006</v>
      </c>
      <c r="D312">
        <v>9946968.8424050007</v>
      </c>
      <c r="E312" t="s">
        <v>18</v>
      </c>
      <c r="F312">
        <v>26005.147300405199</v>
      </c>
      <c r="G312">
        <v>91018.015551418197</v>
      </c>
      <c r="H312">
        <v>9522218.1031650398</v>
      </c>
      <c r="I312" t="s">
        <v>18</v>
      </c>
      <c r="J312">
        <v>186327804.400188</v>
      </c>
      <c r="K312">
        <v>-2721880.7926654001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>
        <v>-5776987.8485448696</v>
      </c>
      <c r="S312" t="s">
        <v>18</v>
      </c>
      <c r="T312">
        <v>9548223.2504654508</v>
      </c>
    </row>
    <row r="313" spans="1:20" x14ac:dyDescent="0.2">
      <c r="A313" t="s">
        <v>113</v>
      </c>
      <c r="B313" t="s">
        <v>39</v>
      </c>
      <c r="C313">
        <v>2007</v>
      </c>
      <c r="D313">
        <v>48357994.083549902</v>
      </c>
      <c r="E313">
        <v>-35151766.766461</v>
      </c>
      <c r="F313" t="s">
        <v>18</v>
      </c>
      <c r="G313">
        <v>46630922.866280198</v>
      </c>
      <c r="H313">
        <v>47659255.346791901</v>
      </c>
      <c r="I313" t="s">
        <v>18</v>
      </c>
      <c r="J313">
        <v>166517797.48868701</v>
      </c>
      <c r="K313">
        <v>-4052506.8794525401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>
        <v>-8096111.5297663901</v>
      </c>
      <c r="S313" t="s">
        <v>18</v>
      </c>
      <c r="T313">
        <v>47659255.346791901</v>
      </c>
    </row>
    <row r="314" spans="1:20" x14ac:dyDescent="0.2">
      <c r="A314" t="s">
        <v>113</v>
      </c>
      <c r="B314" t="s">
        <v>39</v>
      </c>
      <c r="C314">
        <v>2008</v>
      </c>
      <c r="D314">
        <v>37150032.693109803</v>
      </c>
      <c r="E314">
        <v>-25105202.278589901</v>
      </c>
      <c r="F314" t="s">
        <v>18</v>
      </c>
      <c r="G314">
        <v>8835979.0851490702</v>
      </c>
      <c r="H314">
        <v>36346183.724948898</v>
      </c>
      <c r="I314" t="s">
        <v>18</v>
      </c>
      <c r="J314">
        <v>26779860.088331498</v>
      </c>
      <c r="K314">
        <v>-5593142.14080723</v>
      </c>
      <c r="L314" t="s">
        <v>18</v>
      </c>
      <c r="M314" t="s">
        <v>18</v>
      </c>
      <c r="N314" t="s">
        <v>18</v>
      </c>
      <c r="O314" t="s">
        <v>18</v>
      </c>
      <c r="P314">
        <v>-58044.444439999999</v>
      </c>
      <c r="Q314">
        <v>-63277.777779999997</v>
      </c>
      <c r="R314" t="s">
        <v>18</v>
      </c>
      <c r="S314" t="s">
        <v>18</v>
      </c>
      <c r="T314">
        <v>36346183.724948898</v>
      </c>
    </row>
    <row r="315" spans="1:20" x14ac:dyDescent="0.2">
      <c r="A315" t="s">
        <v>113</v>
      </c>
      <c r="B315" t="s">
        <v>39</v>
      </c>
      <c r="C315">
        <v>2009</v>
      </c>
      <c r="D315">
        <v>26759182.3988644</v>
      </c>
      <c r="E315" t="s">
        <v>18</v>
      </c>
      <c r="F315" t="s">
        <v>18</v>
      </c>
      <c r="G315">
        <v>24364539.655784201</v>
      </c>
      <c r="H315">
        <v>26257224.139460601</v>
      </c>
      <c r="I315" t="s">
        <v>18</v>
      </c>
      <c r="J315">
        <v>21407470.864071701</v>
      </c>
      <c r="K315">
        <v>-6147123.96217205</v>
      </c>
      <c r="L315" t="s">
        <v>18</v>
      </c>
      <c r="M315">
        <v>170.876519493144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>
        <v>26257224.139460601</v>
      </c>
    </row>
    <row r="316" spans="1:20" x14ac:dyDescent="0.2">
      <c r="A316" t="s">
        <v>113</v>
      </c>
      <c r="B316" t="s">
        <v>39</v>
      </c>
      <c r="C316">
        <v>2010</v>
      </c>
      <c r="D316">
        <v>21866798.827409301</v>
      </c>
      <c r="E316">
        <v>-14134662.018325999</v>
      </c>
      <c r="F316" t="s">
        <v>18</v>
      </c>
      <c r="G316">
        <v>19444810.553316198</v>
      </c>
      <c r="H316">
        <v>21203020.153902501</v>
      </c>
      <c r="I316" t="s">
        <v>18</v>
      </c>
      <c r="J316">
        <v>63070829.791434497</v>
      </c>
      <c r="K316">
        <v>-5717552.22665512</v>
      </c>
      <c r="L316" t="s">
        <v>18</v>
      </c>
      <c r="M316">
        <v>5.05082349877999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  <c r="T316">
        <v>21203020.153902501</v>
      </c>
    </row>
    <row r="317" spans="1:20" x14ac:dyDescent="0.2">
      <c r="A317" t="s">
        <v>113</v>
      </c>
      <c r="B317" t="s">
        <v>39</v>
      </c>
      <c r="C317">
        <v>2011</v>
      </c>
      <c r="D317">
        <v>16634288.290996499</v>
      </c>
      <c r="E317" t="s">
        <v>18</v>
      </c>
      <c r="F317" t="s">
        <v>18</v>
      </c>
      <c r="G317">
        <v>13721595.069893301</v>
      </c>
      <c r="H317">
        <v>15532859.1612806</v>
      </c>
      <c r="I317" t="s">
        <v>18</v>
      </c>
      <c r="J317">
        <v>53870822.352691703</v>
      </c>
      <c r="K317">
        <v>-6787896.2969755502</v>
      </c>
      <c r="L317" t="s">
        <v>18</v>
      </c>
      <c r="M317">
        <v>13.193394282291701</v>
      </c>
      <c r="N317" t="s">
        <v>18</v>
      </c>
      <c r="O317" t="s">
        <v>18</v>
      </c>
      <c r="P317">
        <v>-73100</v>
      </c>
      <c r="Q317">
        <v>-81900</v>
      </c>
      <c r="R317">
        <v>-5941496.8534858096</v>
      </c>
      <c r="S317" t="s">
        <v>18</v>
      </c>
      <c r="T317">
        <v>15532859.1612806</v>
      </c>
    </row>
    <row r="318" spans="1:20" x14ac:dyDescent="0.2">
      <c r="A318" t="s">
        <v>113</v>
      </c>
      <c r="B318" t="s">
        <v>39</v>
      </c>
      <c r="C318">
        <v>2012</v>
      </c>
      <c r="D318">
        <v>10659384.1097224</v>
      </c>
      <c r="E318">
        <v>-8807061.0627476703</v>
      </c>
      <c r="F318" t="s">
        <v>18</v>
      </c>
      <c r="G318">
        <v>1912436.9420548601</v>
      </c>
      <c r="H318">
        <v>9445722.2041876297</v>
      </c>
      <c r="I318" t="s">
        <v>18</v>
      </c>
      <c r="J318">
        <v>42716733.898134902</v>
      </c>
      <c r="K318">
        <v>-7282383.7616215898</v>
      </c>
      <c r="L318" t="s">
        <v>18</v>
      </c>
      <c r="M318">
        <v>-0.45588306116208799</v>
      </c>
      <c r="N318" t="s">
        <v>18</v>
      </c>
      <c r="O318" t="s">
        <v>18</v>
      </c>
      <c r="P318">
        <v>-1218.5416700000001</v>
      </c>
      <c r="Q318">
        <v>-1357.9166700000001</v>
      </c>
      <c r="R318">
        <v>-6290757.9019626202</v>
      </c>
      <c r="S318" t="s">
        <v>18</v>
      </c>
      <c r="T318">
        <v>9445722.2041876297</v>
      </c>
    </row>
    <row r="319" spans="1:20" x14ac:dyDescent="0.2">
      <c r="A319" t="s">
        <v>113</v>
      </c>
      <c r="B319" t="s">
        <v>39</v>
      </c>
      <c r="C319">
        <v>2013</v>
      </c>
      <c r="D319">
        <v>10766506.142544299</v>
      </c>
      <c r="E319">
        <v>-4601490.5467953198</v>
      </c>
      <c r="F319" t="s">
        <v>18</v>
      </c>
      <c r="G319">
        <v>2292026.0145681598</v>
      </c>
      <c r="H319">
        <v>8704508.4722071197</v>
      </c>
      <c r="I319" t="s">
        <v>18</v>
      </c>
      <c r="J319">
        <v>68106769.085490406</v>
      </c>
      <c r="K319">
        <v>-7226744.4001853699</v>
      </c>
      <c r="L319" t="s">
        <v>18</v>
      </c>
      <c r="M319">
        <v>-6.00411468934632</v>
      </c>
      <c r="N319" t="s">
        <v>18</v>
      </c>
      <c r="O319" t="s">
        <v>18</v>
      </c>
      <c r="P319">
        <v>-6616.09195</v>
      </c>
      <c r="Q319">
        <v>-7306.8965500000004</v>
      </c>
      <c r="R319" t="s">
        <v>18</v>
      </c>
      <c r="S319" t="s">
        <v>18</v>
      </c>
      <c r="T319">
        <v>8704508.4722071197</v>
      </c>
    </row>
    <row r="320" spans="1:20" x14ac:dyDescent="0.2">
      <c r="A320" t="s">
        <v>113</v>
      </c>
      <c r="B320" t="s">
        <v>39</v>
      </c>
      <c r="C320">
        <v>2014</v>
      </c>
      <c r="D320">
        <v>16407659.530678</v>
      </c>
      <c r="E320" t="s">
        <v>18</v>
      </c>
      <c r="F320" t="s">
        <v>18</v>
      </c>
      <c r="G320">
        <v>11878094.319887999</v>
      </c>
      <c r="H320">
        <v>13383082.8145824</v>
      </c>
      <c r="I320" t="s">
        <v>18</v>
      </c>
      <c r="J320">
        <v>61761617.983714901</v>
      </c>
      <c r="K320">
        <v>-9259454.45084952</v>
      </c>
      <c r="L320" t="s">
        <v>18</v>
      </c>
      <c r="M320">
        <v>1.20489816068188</v>
      </c>
      <c r="N320" t="s">
        <v>18</v>
      </c>
      <c r="O320" t="s">
        <v>18</v>
      </c>
      <c r="P320">
        <v>-651.02040999999997</v>
      </c>
      <c r="Q320">
        <v>-707.89706999999999</v>
      </c>
      <c r="R320" t="s">
        <v>18</v>
      </c>
      <c r="S320" t="s">
        <v>18</v>
      </c>
      <c r="T320">
        <v>13383082.8145824</v>
      </c>
    </row>
    <row r="321" spans="1:20" x14ac:dyDescent="0.2">
      <c r="A321" t="s">
        <v>113</v>
      </c>
      <c r="B321" t="s">
        <v>39</v>
      </c>
      <c r="C321">
        <v>2015</v>
      </c>
      <c r="D321">
        <v>18802611.118785601</v>
      </c>
      <c r="E321">
        <v>4204184.75303791</v>
      </c>
      <c r="F321" t="s">
        <v>18</v>
      </c>
      <c r="G321">
        <v>8994396.6477874499</v>
      </c>
      <c r="H321">
        <v>14148120.2744394</v>
      </c>
      <c r="I321">
        <v>-0.51819757365684604</v>
      </c>
      <c r="J321">
        <v>64422252.255828597</v>
      </c>
      <c r="K321">
        <v>-7253217.4700430399</v>
      </c>
      <c r="L321">
        <v>30.386052303860701</v>
      </c>
      <c r="M321">
        <v>24.573093961551699</v>
      </c>
      <c r="N321" t="s">
        <v>18</v>
      </c>
      <c r="O321" t="s">
        <v>18</v>
      </c>
      <c r="P321">
        <v>-308.50153</v>
      </c>
      <c r="Q321">
        <v>-344.70947999999999</v>
      </c>
      <c r="R321">
        <v>-9025639.4413880706</v>
      </c>
      <c r="S321" t="s">
        <v>18</v>
      </c>
      <c r="T321">
        <v>14148120.2744394</v>
      </c>
    </row>
    <row r="322" spans="1:20" x14ac:dyDescent="0.2">
      <c r="A322" t="s">
        <v>113</v>
      </c>
      <c r="B322" t="s">
        <v>39</v>
      </c>
      <c r="C322">
        <v>2016</v>
      </c>
      <c r="D322">
        <v>17080554.922416098</v>
      </c>
      <c r="E322">
        <v>-4496476.4491619803</v>
      </c>
      <c r="F322" t="s">
        <v>18</v>
      </c>
      <c r="G322">
        <v>4255469.0979223298</v>
      </c>
      <c r="H322">
        <v>14841841.4131674</v>
      </c>
      <c r="I322" t="s">
        <v>18</v>
      </c>
      <c r="J322">
        <v>60843287.747045599</v>
      </c>
      <c r="K322">
        <v>-5422044.4634427</v>
      </c>
      <c r="L322" t="s">
        <v>18</v>
      </c>
      <c r="M322">
        <v>24.489445677962401</v>
      </c>
      <c r="N322" t="s">
        <v>18</v>
      </c>
      <c r="O322" t="s">
        <v>18</v>
      </c>
      <c r="P322">
        <v>-193.78237999999999</v>
      </c>
      <c r="Q322">
        <v>-225.85491999999999</v>
      </c>
      <c r="R322">
        <v>-7709649.2584054098</v>
      </c>
      <c r="S322">
        <v>94.611400000000003</v>
      </c>
      <c r="T322">
        <v>14841841.4131674</v>
      </c>
    </row>
    <row r="323" spans="1:20" x14ac:dyDescent="0.2">
      <c r="A323" t="s">
        <v>113</v>
      </c>
      <c r="B323" t="s">
        <v>39</v>
      </c>
      <c r="C323">
        <v>2017</v>
      </c>
      <c r="D323">
        <v>23461949.471803602</v>
      </c>
      <c r="E323">
        <v>-29375322.440831099</v>
      </c>
      <c r="F323" t="s">
        <v>18</v>
      </c>
      <c r="G323">
        <v>1851289.8089172</v>
      </c>
      <c r="H323">
        <v>15530396.535653301</v>
      </c>
      <c r="I323">
        <v>3.6027397260273899</v>
      </c>
      <c r="J323">
        <v>137660554.82838199</v>
      </c>
      <c r="K323">
        <v>-4475170.5836113896</v>
      </c>
      <c r="L323">
        <v>271.42857142857201</v>
      </c>
      <c r="M323">
        <v>48.556356047185403</v>
      </c>
      <c r="N323" t="s">
        <v>18</v>
      </c>
      <c r="O323" t="s">
        <v>18</v>
      </c>
      <c r="P323">
        <v>-97.267080000000007</v>
      </c>
      <c r="Q323">
        <v>-146.99793</v>
      </c>
      <c r="R323">
        <v>-9382232.2624707799</v>
      </c>
      <c r="S323">
        <v>94.037300000000002</v>
      </c>
      <c r="T323">
        <v>15530396.535653301</v>
      </c>
    </row>
    <row r="324" spans="1:20" x14ac:dyDescent="0.2">
      <c r="A324" t="s">
        <v>113</v>
      </c>
      <c r="B324" t="s">
        <v>39</v>
      </c>
      <c r="C324">
        <v>2018</v>
      </c>
      <c r="D324">
        <v>50582790.615060501</v>
      </c>
      <c r="E324">
        <v>18352306.1800263</v>
      </c>
      <c r="F324" t="s">
        <v>18</v>
      </c>
      <c r="G324">
        <v>23261448.304349601</v>
      </c>
      <c r="H324">
        <v>40577278.174783498</v>
      </c>
      <c r="I324" t="s">
        <v>18</v>
      </c>
      <c r="J324">
        <v>97124511.574872896</v>
      </c>
      <c r="K324">
        <v>-6918021.4114915598</v>
      </c>
      <c r="L324" t="s">
        <v>18</v>
      </c>
      <c r="M324">
        <v>59.788892099578597</v>
      </c>
      <c r="N324" t="s">
        <v>18</v>
      </c>
      <c r="O324" t="s">
        <v>18</v>
      </c>
      <c r="P324">
        <v>-145.65946</v>
      </c>
      <c r="Q324">
        <v>-197.80688000000001</v>
      </c>
      <c r="R324">
        <v>-6938066.9704977497</v>
      </c>
      <c r="S324">
        <v>98.994799999999998</v>
      </c>
      <c r="T324">
        <v>40577278.174783498</v>
      </c>
    </row>
    <row r="325" spans="1:20" x14ac:dyDescent="0.2">
      <c r="A325" t="s">
        <v>113</v>
      </c>
      <c r="B325" t="s">
        <v>39</v>
      </c>
      <c r="C325">
        <v>2019</v>
      </c>
      <c r="D325">
        <v>51948432.290852197</v>
      </c>
      <c r="E325">
        <v>-21934076.086956501</v>
      </c>
      <c r="F325">
        <v>0</v>
      </c>
      <c r="G325">
        <v>6010629.6325254096</v>
      </c>
      <c r="H325">
        <v>30452849.8045348</v>
      </c>
      <c r="I325">
        <v>2.4509872324911801</v>
      </c>
      <c r="J325">
        <v>376295220.29470801</v>
      </c>
      <c r="K325">
        <v>-10728688.992566001</v>
      </c>
      <c r="L325">
        <v>215.573621129038</v>
      </c>
      <c r="M325">
        <v>37.470297222054903</v>
      </c>
      <c r="N325">
        <v>16.440551556564799</v>
      </c>
      <c r="O325">
        <v>97.846103271544806</v>
      </c>
      <c r="P325">
        <v>-162.38831999999999</v>
      </c>
      <c r="Q325">
        <v>-203.68271999999999</v>
      </c>
      <c r="R325">
        <v>-12526108.745207701</v>
      </c>
      <c r="S325">
        <v>98.082400000000007</v>
      </c>
      <c r="T325">
        <v>30452849.8045348</v>
      </c>
    </row>
    <row r="326" spans="1:20" x14ac:dyDescent="0.2">
      <c r="A326" t="s">
        <v>113</v>
      </c>
      <c r="B326" t="s">
        <v>39</v>
      </c>
      <c r="C326">
        <v>2020</v>
      </c>
      <c r="D326">
        <v>95603701.080386803</v>
      </c>
      <c r="E326">
        <v>-76789338.996689096</v>
      </c>
      <c r="F326">
        <v>7501169.2606023997</v>
      </c>
      <c r="G326">
        <v>45884029.376951799</v>
      </c>
      <c r="H326">
        <v>64076031.504986398</v>
      </c>
      <c r="I326">
        <v>5.7348246531546598</v>
      </c>
      <c r="J326">
        <v>2386889577.1947098</v>
      </c>
      <c r="K326">
        <v>-33782643.235409699</v>
      </c>
      <c r="L326">
        <v>52.002800163912298</v>
      </c>
      <c r="M326">
        <v>48.8931667233431</v>
      </c>
      <c r="N326">
        <v>29.1015475990543</v>
      </c>
      <c r="O326">
        <v>-28.143092953868301</v>
      </c>
      <c r="P326">
        <v>-814.40291999999999</v>
      </c>
      <c r="Q326">
        <v>-894.56092000000001</v>
      </c>
      <c r="R326">
        <v>-16806822.3747775</v>
      </c>
      <c r="S326">
        <v>95.442099999999996</v>
      </c>
      <c r="T326">
        <v>71577200.765588805</v>
      </c>
    </row>
    <row r="327" spans="1:20" x14ac:dyDescent="0.2">
      <c r="A327" t="s">
        <v>113</v>
      </c>
      <c r="B327" t="s">
        <v>39</v>
      </c>
      <c r="C327">
        <v>2021</v>
      </c>
      <c r="D327">
        <v>263300908.882442</v>
      </c>
      <c r="E327">
        <v>-338007718.416713</v>
      </c>
      <c r="F327">
        <v>7455360.87857439</v>
      </c>
      <c r="G327">
        <v>202393622.07487199</v>
      </c>
      <c r="H327">
        <v>226956311.96297801</v>
      </c>
      <c r="I327">
        <v>15.6456217227612</v>
      </c>
      <c r="J327">
        <v>3318509967.8733902</v>
      </c>
      <c r="K327">
        <v>-31077604.6351141</v>
      </c>
      <c r="L327">
        <v>184.71402867217699</v>
      </c>
      <c r="M327">
        <v>34.917948872076998</v>
      </c>
      <c r="N327">
        <v>35.146905533283402</v>
      </c>
      <c r="O327">
        <v>30.6826769581101</v>
      </c>
      <c r="P327">
        <v>-563.43859999999995</v>
      </c>
      <c r="Q327">
        <v>-624.14035000000001</v>
      </c>
      <c r="R327">
        <v>-28669726.394089099</v>
      </c>
      <c r="S327">
        <v>95.204700000000003</v>
      </c>
      <c r="T327">
        <v>234411672.841553</v>
      </c>
    </row>
    <row r="328" spans="1:20" x14ac:dyDescent="0.2">
      <c r="A328" t="s">
        <v>113</v>
      </c>
      <c r="B328" t="s">
        <v>39</v>
      </c>
      <c r="C328">
        <v>2022</v>
      </c>
      <c r="D328">
        <v>546402137.32589102</v>
      </c>
      <c r="E328">
        <v>-275587786.14623302</v>
      </c>
      <c r="F328">
        <v>8524619.9024488404</v>
      </c>
      <c r="G328">
        <v>436346527.580832</v>
      </c>
      <c r="H328">
        <v>471016256.90149301</v>
      </c>
      <c r="I328">
        <v>4.5366486824940599</v>
      </c>
      <c r="J328">
        <v>750168378.69798398</v>
      </c>
      <c r="K328">
        <v>-55056583.899267003</v>
      </c>
      <c r="L328">
        <v>49.990692758237699</v>
      </c>
      <c r="M328">
        <v>26.4973088782918</v>
      </c>
      <c r="N328">
        <v>47.443804088945498</v>
      </c>
      <c r="O328">
        <v>773.62835053216304</v>
      </c>
      <c r="P328">
        <v>-738.35081000000002</v>
      </c>
      <c r="Q328">
        <v>-795.02399000000003</v>
      </c>
      <c r="R328">
        <v>-66868899.7841288</v>
      </c>
      <c r="S328">
        <v>93.460099999999997</v>
      </c>
      <c r="T328">
        <v>479540876.80394202</v>
      </c>
    </row>
    <row r="329" spans="1:20" x14ac:dyDescent="0.2">
      <c r="A329" t="s">
        <v>113</v>
      </c>
      <c r="B329" t="s">
        <v>39</v>
      </c>
      <c r="C329">
        <v>2023</v>
      </c>
      <c r="D329">
        <v>458978091.27253503</v>
      </c>
      <c r="E329">
        <v>-208591544.07828099</v>
      </c>
      <c r="F329">
        <v>8908751.3011993691</v>
      </c>
      <c r="G329">
        <v>322349858.03726298</v>
      </c>
      <c r="H329">
        <v>337124763.67202199</v>
      </c>
      <c r="I329">
        <v>3.57442769116297</v>
      </c>
      <c r="J329">
        <v>371091509.293203</v>
      </c>
      <c r="K329">
        <v>-116645484.930558</v>
      </c>
      <c r="L329">
        <v>217.00496924696901</v>
      </c>
      <c r="M329">
        <v>11.685746059829301</v>
      </c>
      <c r="N329">
        <v>40.1150192976338</v>
      </c>
      <c r="O329">
        <v>339.94803435583299</v>
      </c>
      <c r="P329">
        <v>-1821.22777</v>
      </c>
      <c r="Q329">
        <v>-1896.7297799999999</v>
      </c>
      <c r="R329">
        <v>-66260860.867181197</v>
      </c>
      <c r="S329">
        <v>100</v>
      </c>
      <c r="T329">
        <v>346033514.97322202</v>
      </c>
    </row>
    <row r="330" spans="1:20" x14ac:dyDescent="0.2">
      <c r="A330" t="s">
        <v>113</v>
      </c>
      <c r="B330" t="s">
        <v>39</v>
      </c>
      <c r="C330">
        <v>2024</v>
      </c>
      <c r="D330">
        <v>447113502.51049203</v>
      </c>
      <c r="E330">
        <v>-190526066.77705601</v>
      </c>
      <c r="F330">
        <v>14877979.616307</v>
      </c>
      <c r="G330">
        <v>269766439.59832102</v>
      </c>
      <c r="H330">
        <v>314702528.85191798</v>
      </c>
      <c r="I330">
        <v>4.4895584415418197</v>
      </c>
      <c r="J330">
        <v>252971304.06848699</v>
      </c>
      <c r="K330">
        <v>-31620511.941438202</v>
      </c>
      <c r="L330">
        <v>161.566300522825</v>
      </c>
      <c r="M330">
        <v>26.026416070072202</v>
      </c>
      <c r="N330">
        <v>41.000663165897699</v>
      </c>
      <c r="O330">
        <v>51.258077868980102</v>
      </c>
      <c r="P330">
        <v>-184.98394999999999</v>
      </c>
      <c r="Q330">
        <v>-220.89769000000001</v>
      </c>
      <c r="R330">
        <v>-50501716.501187697</v>
      </c>
      <c r="S330">
        <v>100</v>
      </c>
      <c r="T330">
        <v>329580508.468225</v>
      </c>
    </row>
    <row r="331" spans="1:20" x14ac:dyDescent="0.2">
      <c r="A331" t="s">
        <v>113</v>
      </c>
      <c r="B331" t="s">
        <v>39</v>
      </c>
      <c r="C331">
        <v>2025</v>
      </c>
      <c r="D331">
        <v>402317289.74827099</v>
      </c>
      <c r="E331">
        <v>-137096617.27195299</v>
      </c>
      <c r="F331">
        <v>14507300.4757399</v>
      </c>
      <c r="G331">
        <v>243581704.46822399</v>
      </c>
      <c r="H331">
        <v>263833806.51910299</v>
      </c>
      <c r="I331">
        <v>5.95832430012383</v>
      </c>
      <c r="J331">
        <v>509241158.71614301</v>
      </c>
      <c r="K331">
        <v>-54108236.988030903</v>
      </c>
      <c r="L331">
        <v>42.153608313767002</v>
      </c>
      <c r="M331">
        <v>3.7371793356589098</v>
      </c>
      <c r="N331">
        <v>42.315066762882097</v>
      </c>
      <c r="O331">
        <v>70.538725397463494</v>
      </c>
      <c r="P331">
        <v>-130.87558000000001</v>
      </c>
      <c r="Q331">
        <v>-159.22042999999999</v>
      </c>
      <c r="R331">
        <v>-38075724.075910702</v>
      </c>
      <c r="S331">
        <v>100</v>
      </c>
      <c r="T331">
        <v>278341106.99484301</v>
      </c>
    </row>
    <row r="332" spans="1:20" x14ac:dyDescent="0.2">
      <c r="A332" t="s">
        <v>114</v>
      </c>
      <c r="B332" t="s">
        <v>40</v>
      </c>
      <c r="C332">
        <v>2004</v>
      </c>
      <c r="D332" t="s">
        <v>18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</row>
    <row r="333" spans="1:20" x14ac:dyDescent="0.2">
      <c r="A333" t="s">
        <v>114</v>
      </c>
      <c r="B333" t="s">
        <v>40</v>
      </c>
      <c r="C333">
        <v>2005</v>
      </c>
      <c r="D333">
        <v>21760907.513181001</v>
      </c>
      <c r="E333" t="s">
        <v>18</v>
      </c>
      <c r="F333">
        <v>7633006.9332161704</v>
      </c>
      <c r="G333">
        <v>2562051.1511423602</v>
      </c>
      <c r="H333">
        <v>6249901.1511423597</v>
      </c>
      <c r="I333" t="s">
        <v>18</v>
      </c>
      <c r="J333" t="s">
        <v>18</v>
      </c>
      <c r="K333">
        <v>-873115.71430669795</v>
      </c>
      <c r="L333" t="s">
        <v>18</v>
      </c>
      <c r="M333" t="s">
        <v>18</v>
      </c>
      <c r="N333" t="s">
        <v>18</v>
      </c>
      <c r="O333" t="s">
        <v>18</v>
      </c>
      <c r="P333">
        <v>14.55152</v>
      </c>
      <c r="Q333">
        <v>12.46082</v>
      </c>
      <c r="R333" t="s">
        <v>18</v>
      </c>
      <c r="S333" t="s">
        <v>18</v>
      </c>
      <c r="T333">
        <v>14597145.465729401</v>
      </c>
    </row>
    <row r="334" spans="1:20" x14ac:dyDescent="0.2">
      <c r="A334" t="s">
        <v>114</v>
      </c>
      <c r="B334" t="s">
        <v>40</v>
      </c>
      <c r="C334">
        <v>2006</v>
      </c>
      <c r="D334">
        <v>31863580.403502099</v>
      </c>
      <c r="E334" t="s">
        <v>18</v>
      </c>
      <c r="F334">
        <v>6144577.1145793702</v>
      </c>
      <c r="G334">
        <v>2884530.4453749498</v>
      </c>
      <c r="H334">
        <v>7908345.95355919</v>
      </c>
      <c r="I334" t="s">
        <v>18</v>
      </c>
      <c r="J334">
        <v>79992286.675201401</v>
      </c>
      <c r="K334">
        <v>1828813.5982789099</v>
      </c>
      <c r="L334" t="s">
        <v>18</v>
      </c>
      <c r="M334" t="s">
        <v>18</v>
      </c>
      <c r="N334" t="s">
        <v>18</v>
      </c>
      <c r="O334" t="s">
        <v>18</v>
      </c>
      <c r="P334">
        <v>-17.375229999999998</v>
      </c>
      <c r="Q334">
        <v>-18.931270000000001</v>
      </c>
      <c r="R334" t="s">
        <v>18</v>
      </c>
      <c r="S334" t="s">
        <v>18</v>
      </c>
      <c r="T334">
        <v>14923554.8610582</v>
      </c>
    </row>
    <row r="335" spans="1:20" x14ac:dyDescent="0.2">
      <c r="A335" t="s">
        <v>114</v>
      </c>
      <c r="B335" t="s">
        <v>40</v>
      </c>
      <c r="C335">
        <v>2007</v>
      </c>
      <c r="D335">
        <v>77587205.055810899</v>
      </c>
      <c r="E335">
        <v>-25115321.108669899</v>
      </c>
      <c r="F335">
        <v>3229275.7058437299</v>
      </c>
      <c r="G335">
        <v>26992938.435653299</v>
      </c>
      <c r="H335">
        <v>31569404.276099801</v>
      </c>
      <c r="I335" t="s">
        <v>18</v>
      </c>
      <c r="J335">
        <v>602507286.10442996</v>
      </c>
      <c r="K335">
        <v>3761179.9811705402</v>
      </c>
      <c r="L335" t="s">
        <v>18</v>
      </c>
      <c r="M335" t="s">
        <v>18</v>
      </c>
      <c r="N335" t="s">
        <v>18</v>
      </c>
      <c r="O335" t="s">
        <v>18</v>
      </c>
      <c r="P335">
        <v>19.902200000000001</v>
      </c>
      <c r="Q335">
        <v>18.625260000000001</v>
      </c>
      <c r="R335">
        <v>16041790.3144443</v>
      </c>
      <c r="S335" t="s">
        <v>18</v>
      </c>
      <c r="T335">
        <v>34798679.981943503</v>
      </c>
    </row>
    <row r="336" spans="1:20" x14ac:dyDescent="0.2">
      <c r="A336" t="s">
        <v>114</v>
      </c>
      <c r="B336" t="s">
        <v>40</v>
      </c>
      <c r="C336">
        <v>2008</v>
      </c>
      <c r="D336">
        <v>125682563.917071</v>
      </c>
      <c r="E336">
        <v>-45854258.038422599</v>
      </c>
      <c r="F336">
        <v>437817.20335244801</v>
      </c>
      <c r="G336">
        <v>40673460.0794001</v>
      </c>
      <c r="H336">
        <v>42268106.440229401</v>
      </c>
      <c r="I336" t="s">
        <v>18</v>
      </c>
      <c r="J336">
        <v>241391209.05614299</v>
      </c>
      <c r="K336">
        <v>10608094.9341793</v>
      </c>
      <c r="L336" t="s">
        <v>18</v>
      </c>
      <c r="M336" t="s">
        <v>18</v>
      </c>
      <c r="N336" t="s">
        <v>18</v>
      </c>
      <c r="O336" t="s">
        <v>18</v>
      </c>
      <c r="P336">
        <v>23.619980000000002</v>
      </c>
      <c r="Q336">
        <v>22.270250000000001</v>
      </c>
      <c r="R336">
        <v>32508322.6973508</v>
      </c>
      <c r="S336" t="s">
        <v>18</v>
      </c>
      <c r="T336">
        <v>42705923.6435818</v>
      </c>
    </row>
    <row r="337" spans="1:20" x14ac:dyDescent="0.2">
      <c r="A337" t="s">
        <v>114</v>
      </c>
      <c r="B337" t="s">
        <v>40</v>
      </c>
      <c r="C337">
        <v>2009</v>
      </c>
      <c r="D337">
        <v>267399323.42300099</v>
      </c>
      <c r="E337">
        <v>-13759268.792451</v>
      </c>
      <c r="F337">
        <v>7817944.6902240096</v>
      </c>
      <c r="G337">
        <v>29329194.854250599</v>
      </c>
      <c r="H337">
        <v>84299558.505951807</v>
      </c>
      <c r="I337" t="s">
        <v>18</v>
      </c>
      <c r="J337">
        <v>498144918.139808</v>
      </c>
      <c r="K337">
        <v>30799111.723502401</v>
      </c>
      <c r="L337" t="s">
        <v>18</v>
      </c>
      <c r="M337" t="s">
        <v>18</v>
      </c>
      <c r="N337">
        <v>14.4175558559521</v>
      </c>
      <c r="O337" t="s">
        <v>18</v>
      </c>
      <c r="P337">
        <v>27.189720000000001</v>
      </c>
      <c r="Q337">
        <v>22.33541</v>
      </c>
      <c r="R337">
        <v>20621608.252328102</v>
      </c>
      <c r="S337">
        <v>0</v>
      </c>
      <c r="T337">
        <v>92117503.196175799</v>
      </c>
    </row>
    <row r="338" spans="1:20" x14ac:dyDescent="0.2">
      <c r="A338" t="s">
        <v>114</v>
      </c>
      <c r="B338" t="s">
        <v>40</v>
      </c>
      <c r="C338">
        <v>2010</v>
      </c>
      <c r="D338">
        <v>310434969.96619999</v>
      </c>
      <c r="E338">
        <v>-83256619.821195394</v>
      </c>
      <c r="F338">
        <v>39228424.490584299</v>
      </c>
      <c r="G338">
        <v>65170465.6687591</v>
      </c>
      <c r="H338">
        <v>132409845.71704499</v>
      </c>
      <c r="I338" t="s">
        <v>18</v>
      </c>
      <c r="J338">
        <v>895698175.56734002</v>
      </c>
      <c r="K338">
        <v>32432359.123191401</v>
      </c>
      <c r="L338" t="s">
        <v>18</v>
      </c>
      <c r="M338">
        <v>41.344418905501399</v>
      </c>
      <c r="N338">
        <v>12.369710752662099</v>
      </c>
      <c r="O338" t="s">
        <v>18</v>
      </c>
      <c r="P338">
        <v>37.008780000000002</v>
      </c>
      <c r="Q338">
        <v>31.983229999999999</v>
      </c>
      <c r="R338">
        <v>53643566.710243002</v>
      </c>
      <c r="S338">
        <v>0</v>
      </c>
      <c r="T338">
        <v>171638270.207629</v>
      </c>
    </row>
    <row r="339" spans="1:20" x14ac:dyDescent="0.2">
      <c r="A339" t="s">
        <v>114</v>
      </c>
      <c r="B339" t="s">
        <v>40</v>
      </c>
      <c r="C339">
        <v>2011</v>
      </c>
      <c r="D339">
        <v>854294694.53669</v>
      </c>
      <c r="E339">
        <v>-147964610.61022899</v>
      </c>
      <c r="F339">
        <v>586988.91269416199</v>
      </c>
      <c r="G339">
        <v>315150583.44938397</v>
      </c>
      <c r="H339">
        <v>514854141.510445</v>
      </c>
      <c r="I339" t="s">
        <v>18</v>
      </c>
      <c r="J339">
        <v>613410525.61777401</v>
      </c>
      <c r="K339">
        <v>87070427.539842799</v>
      </c>
      <c r="L339" t="s">
        <v>18</v>
      </c>
      <c r="M339">
        <v>89.003132408316205</v>
      </c>
      <c r="N339">
        <v>26.590806156250999</v>
      </c>
      <c r="O339" t="s">
        <v>18</v>
      </c>
      <c r="P339">
        <v>25.238710000000001</v>
      </c>
      <c r="Q339">
        <v>18.013089999999998</v>
      </c>
      <c r="R339">
        <v>172958999.66525799</v>
      </c>
      <c r="S339">
        <v>0</v>
      </c>
      <c r="T339">
        <v>515444333.63685101</v>
      </c>
    </row>
    <row r="340" spans="1:20" x14ac:dyDescent="0.2">
      <c r="A340" t="s">
        <v>114</v>
      </c>
      <c r="B340" t="s">
        <v>40</v>
      </c>
      <c r="C340">
        <v>2012</v>
      </c>
      <c r="D340">
        <v>1134816176.9411299</v>
      </c>
      <c r="E340">
        <v>-56037261.051724099</v>
      </c>
      <c r="F340">
        <v>7851058.5537542701</v>
      </c>
      <c r="G340">
        <v>214365454.35153601</v>
      </c>
      <c r="H340">
        <v>607815622.33361804</v>
      </c>
      <c r="I340" t="s">
        <v>18</v>
      </c>
      <c r="J340">
        <v>231547584.07290399</v>
      </c>
      <c r="K340">
        <v>29126001.4271871</v>
      </c>
      <c r="L340" t="s">
        <v>18</v>
      </c>
      <c r="M340">
        <v>80.423561326092894</v>
      </c>
      <c r="N340">
        <v>21.043371893125599</v>
      </c>
      <c r="O340" t="s">
        <v>18</v>
      </c>
      <c r="P340">
        <v>22.42633</v>
      </c>
      <c r="Q340">
        <v>10.13156</v>
      </c>
      <c r="R340">
        <v>-78216095.125053793</v>
      </c>
      <c r="S340">
        <v>0</v>
      </c>
      <c r="T340">
        <v>636112883.95904398</v>
      </c>
    </row>
    <row r="341" spans="1:20" x14ac:dyDescent="0.2">
      <c r="A341" t="s">
        <v>114</v>
      </c>
      <c r="B341" t="s">
        <v>40</v>
      </c>
      <c r="C341">
        <v>2013</v>
      </c>
      <c r="D341">
        <v>691084784.79519403</v>
      </c>
      <c r="E341">
        <v>-70491792.480030596</v>
      </c>
      <c r="F341">
        <v>110737451.796832</v>
      </c>
      <c r="G341">
        <v>111352563.276898</v>
      </c>
      <c r="H341">
        <v>334152067.63517201</v>
      </c>
      <c r="I341" t="s">
        <v>18</v>
      </c>
      <c r="J341">
        <v>703489080.11800003</v>
      </c>
      <c r="K341">
        <v>-91948025.238550499</v>
      </c>
      <c r="L341" t="s">
        <v>18</v>
      </c>
      <c r="M341">
        <v>50.900564843682403</v>
      </c>
      <c r="N341">
        <v>40.9239906379375</v>
      </c>
      <c r="O341" t="s">
        <v>18</v>
      </c>
      <c r="P341">
        <v>-6.2733100000000004</v>
      </c>
      <c r="Q341">
        <v>-21.01041</v>
      </c>
      <c r="R341">
        <v>-124136550.868545</v>
      </c>
      <c r="S341">
        <v>0</v>
      </c>
      <c r="T341">
        <v>455252864.66411799</v>
      </c>
    </row>
    <row r="342" spans="1:20" x14ac:dyDescent="0.2">
      <c r="A342" t="s">
        <v>114</v>
      </c>
      <c r="B342" t="s">
        <v>40</v>
      </c>
      <c r="C342">
        <v>2014</v>
      </c>
      <c r="D342">
        <v>638893064.71774197</v>
      </c>
      <c r="E342">
        <v>23198150.7085464</v>
      </c>
      <c r="F342">
        <v>133234836.984767</v>
      </c>
      <c r="G342">
        <v>141123039.49372801</v>
      </c>
      <c r="H342">
        <v>327697771.46057302</v>
      </c>
      <c r="I342">
        <v>-0.42733557491215501</v>
      </c>
      <c r="J342">
        <v>520649972.751535</v>
      </c>
      <c r="K342">
        <v>-132346375.46239001</v>
      </c>
      <c r="L342">
        <v>45.604785247343997</v>
      </c>
      <c r="M342">
        <v>-7.3979129688370699</v>
      </c>
      <c r="N342">
        <v>39.243296097068601</v>
      </c>
      <c r="O342">
        <v>-4.1321831891993899</v>
      </c>
      <c r="P342">
        <v>-58.756999999999998</v>
      </c>
      <c r="Q342">
        <v>-98.012879999999996</v>
      </c>
      <c r="R342">
        <v>-108336632.213294</v>
      </c>
      <c r="S342">
        <v>0</v>
      </c>
      <c r="T342">
        <v>466218844.98207903</v>
      </c>
    </row>
    <row r="343" spans="1:20" x14ac:dyDescent="0.2">
      <c r="A343" t="s">
        <v>114</v>
      </c>
      <c r="B343" t="s">
        <v>40</v>
      </c>
      <c r="C343">
        <v>2015</v>
      </c>
      <c r="D343">
        <v>628572486.01750302</v>
      </c>
      <c r="E343">
        <v>124029074.310287</v>
      </c>
      <c r="F343">
        <v>206269173.926164</v>
      </c>
      <c r="G343">
        <v>141171629.81591401</v>
      </c>
      <c r="H343">
        <v>290477542.19897401</v>
      </c>
      <c r="I343">
        <v>-3.4934644395353698</v>
      </c>
      <c r="J343">
        <v>429380385.23881501</v>
      </c>
      <c r="K343">
        <v>-110947265.161382</v>
      </c>
      <c r="L343">
        <v>52.320159268885597</v>
      </c>
      <c r="M343">
        <v>20.656149683036698</v>
      </c>
      <c r="N343">
        <v>42.731303685410403</v>
      </c>
      <c r="O343">
        <v>-30.371943738818299</v>
      </c>
      <c r="P343">
        <v>-31.005929999999999</v>
      </c>
      <c r="Q343">
        <v>-51.968049999999998</v>
      </c>
      <c r="R343">
        <v>-97187771.685986102</v>
      </c>
      <c r="S343">
        <v>55</v>
      </c>
      <c r="T343">
        <v>499335350.51805699</v>
      </c>
    </row>
    <row r="344" spans="1:20" x14ac:dyDescent="0.2">
      <c r="A344" t="s">
        <v>114</v>
      </c>
      <c r="B344" t="s">
        <v>40</v>
      </c>
      <c r="C344">
        <v>2016</v>
      </c>
      <c r="D344">
        <v>526036380.75464201</v>
      </c>
      <c r="E344">
        <v>136663980.89884901</v>
      </c>
      <c r="F344">
        <v>230197904.22240001</v>
      </c>
      <c r="G344">
        <v>93254761.5991216</v>
      </c>
      <c r="H344">
        <v>160102185.10680801</v>
      </c>
      <c r="I344">
        <v>9.4245723719956196</v>
      </c>
      <c r="J344">
        <v>211522098.374448</v>
      </c>
      <c r="K344">
        <v>-158435142.01338401</v>
      </c>
      <c r="L344">
        <v>5.71895582352579</v>
      </c>
      <c r="M344">
        <v>-2.5665810453481699</v>
      </c>
      <c r="N344">
        <v>49.720475309225201</v>
      </c>
      <c r="O344">
        <v>-60.706392344975598</v>
      </c>
      <c r="P344">
        <v>-16.930029999999999</v>
      </c>
      <c r="Q344">
        <v>-39.39864</v>
      </c>
      <c r="R344">
        <v>-35874193.033553101</v>
      </c>
      <c r="S344">
        <v>78.218999999999994</v>
      </c>
      <c r="T344">
        <v>391052877.70014</v>
      </c>
    </row>
    <row r="345" spans="1:20" x14ac:dyDescent="0.2">
      <c r="A345" t="s">
        <v>114</v>
      </c>
      <c r="B345" t="s">
        <v>40</v>
      </c>
      <c r="C345">
        <v>2017</v>
      </c>
      <c r="D345">
        <v>588672054.23462403</v>
      </c>
      <c r="E345">
        <v>-58397160.046728998</v>
      </c>
      <c r="F345">
        <v>233685111.41678101</v>
      </c>
      <c r="G345">
        <v>230301987.03085101</v>
      </c>
      <c r="H345">
        <v>218736748.28060499</v>
      </c>
      <c r="I345">
        <v>-2.0116085474446002</v>
      </c>
      <c r="J345">
        <v>815206635.77869797</v>
      </c>
      <c r="K345">
        <v>-89174149.555074602</v>
      </c>
      <c r="L345">
        <v>13.122825604020701</v>
      </c>
      <c r="M345">
        <v>-33.934574684809697</v>
      </c>
      <c r="N345">
        <v>57.373876758067297</v>
      </c>
      <c r="O345" t="s">
        <v>18</v>
      </c>
      <c r="P345">
        <v>1.9176599999999999</v>
      </c>
      <c r="Q345">
        <v>-9.2777600000000007</v>
      </c>
      <c r="R345">
        <v>-13729387.1768902</v>
      </c>
      <c r="S345">
        <v>89.415899999999993</v>
      </c>
      <c r="T345">
        <v>452769517.783454</v>
      </c>
    </row>
    <row r="346" spans="1:20" x14ac:dyDescent="0.2">
      <c r="A346" t="s">
        <v>114</v>
      </c>
      <c r="B346" t="s">
        <v>40</v>
      </c>
      <c r="C346">
        <v>2018</v>
      </c>
      <c r="D346">
        <v>402116933.82941598</v>
      </c>
      <c r="E346">
        <v>-51268036.518419199</v>
      </c>
      <c r="F346">
        <v>49159289.910705097</v>
      </c>
      <c r="G346">
        <v>106693181.77152801</v>
      </c>
      <c r="H346">
        <v>207873739.88504601</v>
      </c>
      <c r="I346">
        <v>-1.38274443856702</v>
      </c>
      <c r="J346">
        <v>396155244.384624</v>
      </c>
      <c r="K346">
        <v>-71467940.988831893</v>
      </c>
      <c r="L346">
        <v>-15.369116014224799</v>
      </c>
      <c r="M346">
        <v>-36.109560008607502</v>
      </c>
      <c r="N346">
        <v>65.952056136595402</v>
      </c>
      <c r="O346">
        <v>19.544069560583601</v>
      </c>
      <c r="P346">
        <v>5.6774800000000001</v>
      </c>
      <c r="Q346">
        <v>-0.94494</v>
      </c>
      <c r="R346">
        <v>15284062.8135048</v>
      </c>
      <c r="S346">
        <v>85.81</v>
      </c>
      <c r="T346">
        <v>257033029.79575101</v>
      </c>
    </row>
    <row r="347" spans="1:20" x14ac:dyDescent="0.2">
      <c r="A347" t="s">
        <v>114</v>
      </c>
      <c r="B347" t="s">
        <v>40</v>
      </c>
      <c r="C347">
        <v>2019</v>
      </c>
      <c r="D347">
        <v>310203264.47931498</v>
      </c>
      <c r="E347">
        <v>-37454723.697207898</v>
      </c>
      <c r="F347">
        <v>49423311.269614801</v>
      </c>
      <c r="G347">
        <v>79781479.600570604</v>
      </c>
      <c r="H347">
        <v>161440243.65192601</v>
      </c>
      <c r="I347">
        <v>2.5521923223126102</v>
      </c>
      <c r="J347">
        <v>316276386.76998001</v>
      </c>
      <c r="K347">
        <v>-51503552.251019403</v>
      </c>
      <c r="L347">
        <v>14.430267154952301</v>
      </c>
      <c r="M347">
        <v>-14.6872279299387</v>
      </c>
      <c r="N347">
        <v>72.598118739004804</v>
      </c>
      <c r="O347">
        <v>46.083437204719303</v>
      </c>
      <c r="P347">
        <v>5.6164300000000003</v>
      </c>
      <c r="Q347">
        <v>-7.1499999999999994E-2</v>
      </c>
      <c r="R347">
        <v>-24593522.652958401</v>
      </c>
      <c r="S347">
        <v>81.161900000000003</v>
      </c>
      <c r="T347">
        <v>210863554.92154101</v>
      </c>
    </row>
    <row r="348" spans="1:20" x14ac:dyDescent="0.2">
      <c r="A348" t="s">
        <v>114</v>
      </c>
      <c r="B348" t="s">
        <v>40</v>
      </c>
      <c r="C348">
        <v>2020</v>
      </c>
      <c r="D348">
        <v>246600483.860302</v>
      </c>
      <c r="E348">
        <v>-59704167.775478803</v>
      </c>
      <c r="F348">
        <v>25877851.3122546</v>
      </c>
      <c r="G348">
        <v>32766014.548460402</v>
      </c>
      <c r="H348">
        <v>155855178.01198599</v>
      </c>
      <c r="I348">
        <v>0.94258470277946804</v>
      </c>
      <c r="J348">
        <v>854180947.50358903</v>
      </c>
      <c r="K348">
        <v>-20636130.900261</v>
      </c>
      <c r="L348">
        <v>12.815574499756799</v>
      </c>
      <c r="M348">
        <v>-19.432942207249798</v>
      </c>
      <c r="N348">
        <v>63.632456921034503</v>
      </c>
      <c r="O348">
        <v>993.53119752208499</v>
      </c>
      <c r="P348">
        <v>-17.593779999999999</v>
      </c>
      <c r="Q348">
        <v>-23.112590000000001</v>
      </c>
      <c r="R348">
        <v>-48087647.836434402</v>
      </c>
      <c r="S348">
        <v>80.365499999999997</v>
      </c>
      <c r="T348">
        <v>181733029.32424101</v>
      </c>
    </row>
    <row r="349" spans="1:20" x14ac:dyDescent="0.2">
      <c r="A349" t="s">
        <v>114</v>
      </c>
      <c r="B349" t="s">
        <v>40</v>
      </c>
      <c r="C349">
        <v>2021</v>
      </c>
      <c r="D349">
        <v>274574140.32312697</v>
      </c>
      <c r="E349">
        <v>-85975624.718657494</v>
      </c>
      <c r="F349">
        <v>123037.396904305</v>
      </c>
      <c r="G349">
        <v>129271600.045193</v>
      </c>
      <c r="H349">
        <v>240313313.297932</v>
      </c>
      <c r="I349">
        <v>1.9779697297548</v>
      </c>
      <c r="J349">
        <v>1175548308.67996</v>
      </c>
      <c r="K349">
        <v>-60267506.990250699</v>
      </c>
      <c r="L349">
        <v>191.690999700551</v>
      </c>
      <c r="M349">
        <v>6.1864309633467496</v>
      </c>
      <c r="N349">
        <v>68.327975171071898</v>
      </c>
      <c r="O349">
        <v>406.52476552254302</v>
      </c>
      <c r="P349">
        <v>-61.759729999999998</v>
      </c>
      <c r="Q349">
        <v>-73.670360000000002</v>
      </c>
      <c r="R349">
        <v>-47132447.855215497</v>
      </c>
      <c r="S349">
        <v>80.403899999999993</v>
      </c>
      <c r="T349">
        <v>240436350.694837</v>
      </c>
    </row>
    <row r="350" spans="1:20" x14ac:dyDescent="0.2">
      <c r="A350" t="s">
        <v>114</v>
      </c>
      <c r="B350" t="s">
        <v>40</v>
      </c>
      <c r="C350">
        <v>2022</v>
      </c>
      <c r="D350">
        <v>475145619.951765</v>
      </c>
      <c r="E350">
        <v>-25654474.040665999</v>
      </c>
      <c r="F350">
        <v>174725625.67419401</v>
      </c>
      <c r="G350">
        <v>223136819.84213999</v>
      </c>
      <c r="H350">
        <v>252104268.581451</v>
      </c>
      <c r="I350">
        <v>1.1545998122118799</v>
      </c>
      <c r="J350">
        <v>1853698476.2088699</v>
      </c>
      <c r="K350">
        <v>-93002190.762581393</v>
      </c>
      <c r="L350">
        <v>183.314899536068</v>
      </c>
      <c r="M350">
        <v>70.071171899853098</v>
      </c>
      <c r="N350">
        <v>58.822645799400497</v>
      </c>
      <c r="O350">
        <v>41.6260780644322</v>
      </c>
      <c r="P350">
        <v>-179.6191</v>
      </c>
      <c r="Q350">
        <v>-199.6191</v>
      </c>
      <c r="R350">
        <v>-57036445.165332504</v>
      </c>
      <c r="S350">
        <v>100</v>
      </c>
      <c r="T350">
        <v>426829894.25564599</v>
      </c>
    </row>
    <row r="351" spans="1:20" x14ac:dyDescent="0.2">
      <c r="A351" t="s">
        <v>114</v>
      </c>
      <c r="B351" t="s">
        <v>40</v>
      </c>
      <c r="C351">
        <v>2023</v>
      </c>
      <c r="D351">
        <v>728235617.48160994</v>
      </c>
      <c r="E351">
        <v>164793469.69107699</v>
      </c>
      <c r="F351">
        <v>223209803.54824799</v>
      </c>
      <c r="G351">
        <v>296334386.84552097</v>
      </c>
      <c r="H351">
        <v>433520560.79619199</v>
      </c>
      <c r="I351">
        <v>-2.4306807983897798</v>
      </c>
      <c r="J351">
        <v>841985061.17133701</v>
      </c>
      <c r="K351">
        <v>-69594034.204655007</v>
      </c>
      <c r="L351">
        <v>118.707608770043</v>
      </c>
      <c r="M351">
        <v>75.138202034679495</v>
      </c>
      <c r="N351">
        <v>56.613021372797299</v>
      </c>
      <c r="O351">
        <v>19.551688296807299</v>
      </c>
      <c r="P351">
        <v>-22.926490000000001</v>
      </c>
      <c r="Q351">
        <v>-35.733690000000003</v>
      </c>
      <c r="R351">
        <v>-74035389.151335299</v>
      </c>
      <c r="S351">
        <v>96.820999999999998</v>
      </c>
      <c r="T351">
        <v>656730364.34443998</v>
      </c>
    </row>
    <row r="352" spans="1:20" x14ac:dyDescent="0.2">
      <c r="A352" t="s">
        <v>114</v>
      </c>
      <c r="B352" t="s">
        <v>40</v>
      </c>
      <c r="C352">
        <v>2024</v>
      </c>
      <c r="D352">
        <v>733535655.47237098</v>
      </c>
      <c r="E352">
        <v>401463730.39420301</v>
      </c>
      <c r="F352">
        <v>374192386.67855</v>
      </c>
      <c r="G352">
        <v>161762779.857398</v>
      </c>
      <c r="H352">
        <v>206110924.89601901</v>
      </c>
      <c r="I352" t="s">
        <v>18</v>
      </c>
      <c r="J352">
        <v>15801455.4653829</v>
      </c>
      <c r="K352">
        <v>-300692710.11534601</v>
      </c>
      <c r="L352">
        <v>74.820143884891493</v>
      </c>
      <c r="M352">
        <v>93.508841851273701</v>
      </c>
      <c r="N352">
        <v>46.906050807264798</v>
      </c>
      <c r="O352" t="s">
        <v>18</v>
      </c>
      <c r="P352">
        <v>-119.93928</v>
      </c>
      <c r="Q352">
        <v>-141.56551999999999</v>
      </c>
      <c r="R352">
        <v>-161755383.67476901</v>
      </c>
      <c r="S352">
        <v>100</v>
      </c>
      <c r="T352">
        <v>580303311.57456899</v>
      </c>
    </row>
    <row r="353" spans="1:20" x14ac:dyDescent="0.2">
      <c r="A353" t="s">
        <v>114</v>
      </c>
      <c r="B353" t="s">
        <v>40</v>
      </c>
      <c r="C353">
        <v>2025</v>
      </c>
      <c r="D353">
        <v>733535655.47237098</v>
      </c>
      <c r="E353" t="s">
        <v>18</v>
      </c>
      <c r="F353">
        <v>374192386.67855</v>
      </c>
      <c r="G353">
        <v>161762779.857398</v>
      </c>
      <c r="H353">
        <v>206110924.89601901</v>
      </c>
      <c r="I353" t="s">
        <v>18</v>
      </c>
      <c r="J353">
        <v>1788537.1059999999</v>
      </c>
      <c r="K353">
        <v>-300692710.11534601</v>
      </c>
      <c r="L353" t="s">
        <v>18</v>
      </c>
      <c r="M353">
        <v>93.508841851273701</v>
      </c>
      <c r="N353">
        <v>46.906050807264798</v>
      </c>
      <c r="O353" t="s">
        <v>18</v>
      </c>
      <c r="P353">
        <v>-119.93928</v>
      </c>
      <c r="Q353">
        <v>-141.56551999999999</v>
      </c>
      <c r="R353">
        <v>-229888429.793659</v>
      </c>
      <c r="S353">
        <v>100</v>
      </c>
      <c r="T353">
        <v>580303311.57456899</v>
      </c>
    </row>
    <row r="354" spans="1:20" x14ac:dyDescent="0.2">
      <c r="A354" t="s">
        <v>116</v>
      </c>
      <c r="B354" t="s">
        <v>41</v>
      </c>
      <c r="C354">
        <v>2004</v>
      </c>
      <c r="D354" t="s">
        <v>18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</row>
    <row r="355" spans="1:20" x14ac:dyDescent="0.2">
      <c r="A355" t="s">
        <v>116</v>
      </c>
      <c r="B355" t="s">
        <v>41</v>
      </c>
      <c r="C355">
        <v>2005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</row>
    <row r="356" spans="1:20" x14ac:dyDescent="0.2">
      <c r="A356" t="s">
        <v>116</v>
      </c>
      <c r="B356" t="s">
        <v>41</v>
      </c>
      <c r="C356">
        <v>2006</v>
      </c>
      <c r="D356" t="s">
        <v>18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</row>
    <row r="357" spans="1:20" x14ac:dyDescent="0.2">
      <c r="A357" t="s">
        <v>116</v>
      </c>
      <c r="B357" t="s">
        <v>41</v>
      </c>
      <c r="C357">
        <v>2007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</row>
    <row r="358" spans="1:20" x14ac:dyDescent="0.2">
      <c r="A358" t="s">
        <v>116</v>
      </c>
      <c r="B358" t="s">
        <v>41</v>
      </c>
      <c r="C358">
        <v>2008</v>
      </c>
      <c r="D358" t="s">
        <v>18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</row>
    <row r="359" spans="1:20" x14ac:dyDescent="0.2">
      <c r="A359" t="s">
        <v>116</v>
      </c>
      <c r="B359" t="s">
        <v>41</v>
      </c>
      <c r="C359">
        <v>2009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</row>
    <row r="360" spans="1:20" x14ac:dyDescent="0.2">
      <c r="A360" t="s">
        <v>116</v>
      </c>
      <c r="B360" t="s">
        <v>41</v>
      </c>
      <c r="C360">
        <v>2010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</row>
    <row r="361" spans="1:20" x14ac:dyDescent="0.2">
      <c r="A361" t="s">
        <v>116</v>
      </c>
      <c r="B361" t="s">
        <v>41</v>
      </c>
      <c r="C361">
        <v>2011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</row>
    <row r="362" spans="1:20" x14ac:dyDescent="0.2">
      <c r="A362" t="s">
        <v>116</v>
      </c>
      <c r="B362" t="s">
        <v>41</v>
      </c>
      <c r="C362">
        <v>2012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</row>
    <row r="363" spans="1:20" x14ac:dyDescent="0.2">
      <c r="A363" t="s">
        <v>116</v>
      </c>
      <c r="B363" t="s">
        <v>41</v>
      </c>
      <c r="C363">
        <v>2013</v>
      </c>
      <c r="D363" t="s">
        <v>18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</row>
    <row r="364" spans="1:20" x14ac:dyDescent="0.2">
      <c r="A364" t="s">
        <v>116</v>
      </c>
      <c r="B364" t="s">
        <v>41</v>
      </c>
      <c r="C364">
        <v>2014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</row>
    <row r="365" spans="1:20" x14ac:dyDescent="0.2">
      <c r="A365" t="s">
        <v>116</v>
      </c>
      <c r="B365" t="s">
        <v>41</v>
      </c>
      <c r="C365">
        <v>2015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</row>
    <row r="366" spans="1:20" x14ac:dyDescent="0.2">
      <c r="A366" t="s">
        <v>116</v>
      </c>
      <c r="B366" t="s">
        <v>41</v>
      </c>
      <c r="C366">
        <v>2016</v>
      </c>
      <c r="D366">
        <v>658800000</v>
      </c>
      <c r="E366" t="s">
        <v>18</v>
      </c>
      <c r="F366">
        <v>454000000</v>
      </c>
      <c r="G366">
        <v>45700000</v>
      </c>
      <c r="H366">
        <v>113700000</v>
      </c>
      <c r="I366" t="s">
        <v>18</v>
      </c>
      <c r="J366" t="s">
        <v>18</v>
      </c>
      <c r="K366">
        <v>4200000</v>
      </c>
      <c r="L366" t="s">
        <v>18</v>
      </c>
      <c r="M366" t="s">
        <v>18</v>
      </c>
      <c r="N366" t="s">
        <v>18</v>
      </c>
      <c r="O366" t="s">
        <v>18</v>
      </c>
      <c r="P366">
        <v>60.141089999999998</v>
      </c>
      <c r="Q366">
        <v>28.747800000000002</v>
      </c>
      <c r="R366" t="s">
        <v>18</v>
      </c>
      <c r="S366" t="s">
        <v>18</v>
      </c>
      <c r="T366">
        <v>567700000</v>
      </c>
    </row>
    <row r="367" spans="1:20" x14ac:dyDescent="0.2">
      <c r="A367" t="s">
        <v>116</v>
      </c>
      <c r="B367" t="s">
        <v>41</v>
      </c>
      <c r="C367">
        <v>2017</v>
      </c>
      <c r="D367">
        <v>1148900000</v>
      </c>
      <c r="E367" t="s">
        <v>18</v>
      </c>
      <c r="F367">
        <v>801600000</v>
      </c>
      <c r="G367">
        <v>99500000</v>
      </c>
      <c r="H367">
        <v>175000000</v>
      </c>
      <c r="I367" t="s">
        <v>18</v>
      </c>
      <c r="J367" t="s">
        <v>18</v>
      </c>
      <c r="K367">
        <v>2300000</v>
      </c>
      <c r="L367" t="s">
        <v>18</v>
      </c>
      <c r="M367" t="s">
        <v>18</v>
      </c>
      <c r="N367" t="s">
        <v>18</v>
      </c>
      <c r="O367" t="s">
        <v>18</v>
      </c>
      <c r="P367">
        <v>79.089789999999994</v>
      </c>
      <c r="Q367">
        <v>39.606400000000001</v>
      </c>
      <c r="R367" t="s">
        <v>18</v>
      </c>
      <c r="S367" t="s">
        <v>18</v>
      </c>
      <c r="T367">
        <v>976600000</v>
      </c>
    </row>
    <row r="368" spans="1:20" x14ac:dyDescent="0.2">
      <c r="A368" t="s">
        <v>116</v>
      </c>
      <c r="B368" t="s">
        <v>41</v>
      </c>
      <c r="C368">
        <v>2018</v>
      </c>
      <c r="D368">
        <v>1808998000</v>
      </c>
      <c r="E368">
        <v>1173500000</v>
      </c>
      <c r="F368">
        <v>1283913000</v>
      </c>
      <c r="G368">
        <v>260000000</v>
      </c>
      <c r="H368">
        <v>164086000</v>
      </c>
      <c r="I368">
        <v>6.8227192747214804</v>
      </c>
      <c r="J368">
        <v>1609095252.6536701</v>
      </c>
      <c r="K368">
        <v>10433000</v>
      </c>
      <c r="L368">
        <v>39.478950106567197</v>
      </c>
      <c r="M368" t="s">
        <v>18</v>
      </c>
      <c r="N368" t="s">
        <v>18</v>
      </c>
      <c r="O368" t="s">
        <v>18</v>
      </c>
      <c r="P368">
        <v>68.17895</v>
      </c>
      <c r="Q368">
        <v>38.412390000000002</v>
      </c>
      <c r="R368">
        <v>110000000</v>
      </c>
      <c r="S368" t="s">
        <v>18</v>
      </c>
      <c r="T368">
        <v>1461461000</v>
      </c>
    </row>
    <row r="369" spans="1:20" x14ac:dyDescent="0.2">
      <c r="A369" t="s">
        <v>116</v>
      </c>
      <c r="B369" t="s">
        <v>41</v>
      </c>
      <c r="C369">
        <v>2019</v>
      </c>
      <c r="D369">
        <v>2568861000</v>
      </c>
      <c r="E369">
        <v>1848833330</v>
      </c>
      <c r="F369">
        <v>1605074000</v>
      </c>
      <c r="G369">
        <v>503832000</v>
      </c>
      <c r="H369">
        <v>645133000</v>
      </c>
      <c r="I369">
        <v>8.25969229398655</v>
      </c>
      <c r="J369">
        <v>2117745204.27495</v>
      </c>
      <c r="K369">
        <v>14300000</v>
      </c>
      <c r="L369">
        <v>47.916859522863298</v>
      </c>
      <c r="M369" t="s">
        <v>18</v>
      </c>
      <c r="N369" t="s">
        <v>18</v>
      </c>
      <c r="O369">
        <v>86.102134492892603</v>
      </c>
      <c r="P369">
        <v>79.095169999999996</v>
      </c>
      <c r="Q369">
        <v>48.405799999999999</v>
      </c>
      <c r="R369">
        <v>123816670</v>
      </c>
      <c r="S369">
        <v>78.291200000000003</v>
      </c>
      <c r="T369">
        <v>2260347000</v>
      </c>
    </row>
    <row r="370" spans="1:20" x14ac:dyDescent="0.2">
      <c r="A370" t="s">
        <v>116</v>
      </c>
      <c r="B370" t="s">
        <v>41</v>
      </c>
      <c r="C370">
        <v>2020</v>
      </c>
      <c r="D370">
        <v>3385700000</v>
      </c>
      <c r="E370">
        <v>2437537500</v>
      </c>
      <c r="F370">
        <v>2288700000</v>
      </c>
      <c r="G370">
        <v>460500000</v>
      </c>
      <c r="H370">
        <v>661000000</v>
      </c>
      <c r="I370">
        <v>8.9790625599261507</v>
      </c>
      <c r="J370">
        <v>4257437979.1648598</v>
      </c>
      <c r="K370">
        <v>21200000</v>
      </c>
      <c r="L370">
        <v>35.740593421716</v>
      </c>
      <c r="M370" t="s">
        <v>18</v>
      </c>
      <c r="N370" t="s">
        <v>18</v>
      </c>
      <c r="O370">
        <v>-18.444284031413599</v>
      </c>
      <c r="P370">
        <v>85.110579999999999</v>
      </c>
      <c r="Q370">
        <v>52.053710000000002</v>
      </c>
      <c r="R370">
        <v>158014290</v>
      </c>
      <c r="S370">
        <v>79.435199999999995</v>
      </c>
      <c r="T370">
        <v>2969200000</v>
      </c>
    </row>
    <row r="371" spans="1:20" x14ac:dyDescent="0.2">
      <c r="A371" t="s">
        <v>116</v>
      </c>
      <c r="B371" t="s">
        <v>41</v>
      </c>
      <c r="C371">
        <v>2021</v>
      </c>
      <c r="D371">
        <v>3777100000</v>
      </c>
      <c r="E371">
        <v>2290611580</v>
      </c>
      <c r="F371">
        <v>2610400000</v>
      </c>
      <c r="G371">
        <v>374900000</v>
      </c>
      <c r="H371">
        <v>636800000</v>
      </c>
      <c r="I371">
        <v>7.3610982600811203</v>
      </c>
      <c r="J371">
        <v>4014583039.9524899</v>
      </c>
      <c r="K371">
        <v>3400000</v>
      </c>
      <c r="L371">
        <v>27.3360739614583</v>
      </c>
      <c r="M371" t="s">
        <v>18</v>
      </c>
      <c r="N371">
        <v>27.388940404080198</v>
      </c>
      <c r="O371">
        <v>39.366877477817603</v>
      </c>
      <c r="P371">
        <v>88.888890000000004</v>
      </c>
      <c r="Q371">
        <v>52.108429999999998</v>
      </c>
      <c r="R371">
        <v>184407080</v>
      </c>
      <c r="S371">
        <v>80.960499999999996</v>
      </c>
      <c r="T371">
        <v>3252000000</v>
      </c>
    </row>
    <row r="372" spans="1:20" x14ac:dyDescent="0.2">
      <c r="A372" t="s">
        <v>116</v>
      </c>
      <c r="B372" t="s">
        <v>41</v>
      </c>
      <c r="C372">
        <v>2022</v>
      </c>
      <c r="D372">
        <v>4945100000</v>
      </c>
      <c r="E372">
        <v>2925905000</v>
      </c>
      <c r="F372">
        <v>2875500000</v>
      </c>
      <c r="G372">
        <v>592600000</v>
      </c>
      <c r="H372">
        <v>1364700000</v>
      </c>
      <c r="I372">
        <v>7.6279899477138002</v>
      </c>
      <c r="J372">
        <v>4472111529.3002796</v>
      </c>
      <c r="K372">
        <v>40200000</v>
      </c>
      <c r="L372">
        <v>22.348182750720301</v>
      </c>
      <c r="M372" t="s">
        <v>18</v>
      </c>
      <c r="N372">
        <v>32.778391697128598</v>
      </c>
      <c r="O372">
        <v>44.660601722995402</v>
      </c>
      <c r="P372">
        <v>86.600719999999995</v>
      </c>
      <c r="Q372">
        <v>54.316549999999999</v>
      </c>
      <c r="R372">
        <v>237320690</v>
      </c>
      <c r="S372">
        <v>81.124099999999999</v>
      </c>
      <c r="T372">
        <v>4249400000</v>
      </c>
    </row>
    <row r="373" spans="1:20" x14ac:dyDescent="0.2">
      <c r="A373" t="s">
        <v>116</v>
      </c>
      <c r="B373" t="s">
        <v>41</v>
      </c>
      <c r="C373">
        <v>2023</v>
      </c>
      <c r="D373">
        <v>6273500000</v>
      </c>
      <c r="E373">
        <v>2522490000</v>
      </c>
      <c r="F373">
        <v>3469100000</v>
      </c>
      <c r="G373">
        <v>622800000</v>
      </c>
      <c r="H373">
        <v>1893800000</v>
      </c>
      <c r="I373">
        <v>3.43056866817204</v>
      </c>
      <c r="J373">
        <v>4201622041.3800001</v>
      </c>
      <c r="K373">
        <v>45700000</v>
      </c>
      <c r="L373">
        <v>21.814764337966398</v>
      </c>
      <c r="M373">
        <v>18.879775637098501</v>
      </c>
      <c r="N373">
        <v>48.382832396329299</v>
      </c>
      <c r="O373">
        <v>24.7734683225342</v>
      </c>
      <c r="P373">
        <v>77.364859999999993</v>
      </c>
      <c r="Q373">
        <v>47.37679</v>
      </c>
      <c r="R373">
        <v>292368170</v>
      </c>
      <c r="S373">
        <v>85.9221</v>
      </c>
      <c r="T373">
        <v>5383400000</v>
      </c>
    </row>
    <row r="374" spans="1:20" x14ac:dyDescent="0.2">
      <c r="A374" t="s">
        <v>116</v>
      </c>
      <c r="B374" t="s">
        <v>41</v>
      </c>
      <c r="C374">
        <v>2024</v>
      </c>
      <c r="D374">
        <v>7402300000</v>
      </c>
      <c r="E374">
        <v>4232840000</v>
      </c>
      <c r="F374">
        <v>3734200000</v>
      </c>
      <c r="G374">
        <v>773700000</v>
      </c>
      <c r="H374">
        <v>2651700000</v>
      </c>
      <c r="I374">
        <v>9.1835051546391693</v>
      </c>
      <c r="J374">
        <v>6043640523.96</v>
      </c>
      <c r="K374">
        <v>147400000</v>
      </c>
      <c r="L374" t="s">
        <v>18</v>
      </c>
      <c r="M374">
        <v>16.6707618177415</v>
      </c>
      <c r="N374">
        <v>49.345372198347</v>
      </c>
      <c r="O374" t="s">
        <v>18</v>
      </c>
      <c r="P374">
        <v>79.118989999999997</v>
      </c>
      <c r="Q374">
        <v>45.575899999999997</v>
      </c>
      <c r="R374">
        <v>320407290</v>
      </c>
      <c r="S374">
        <v>80.855000000000004</v>
      </c>
      <c r="T374">
        <v>6398900000</v>
      </c>
    </row>
    <row r="375" spans="1:20" x14ac:dyDescent="0.2">
      <c r="A375" t="s">
        <v>116</v>
      </c>
      <c r="B375" t="s">
        <v>41</v>
      </c>
      <c r="C375">
        <v>2025</v>
      </c>
      <c r="D375">
        <v>8599400000</v>
      </c>
      <c r="E375" t="s">
        <v>18</v>
      </c>
      <c r="F375">
        <v>4861000000</v>
      </c>
      <c r="G375">
        <v>521800000</v>
      </c>
      <c r="H375">
        <v>2656000000</v>
      </c>
      <c r="I375" t="s">
        <v>18</v>
      </c>
      <c r="J375">
        <v>6327557535</v>
      </c>
      <c r="K375">
        <v>13800000</v>
      </c>
      <c r="L375" t="s">
        <v>18</v>
      </c>
      <c r="M375">
        <v>14.0400110858887</v>
      </c>
      <c r="N375">
        <v>44.938248050139599</v>
      </c>
      <c r="O375" t="s">
        <v>18</v>
      </c>
      <c r="P375">
        <v>80.585260000000005</v>
      </c>
      <c r="Q375">
        <v>40.874130000000001</v>
      </c>
      <c r="R375" t="s">
        <v>18</v>
      </c>
      <c r="S375">
        <v>80.855000000000004</v>
      </c>
      <c r="T375">
        <v>7545400000</v>
      </c>
    </row>
    <row r="376" spans="1:20" x14ac:dyDescent="0.2">
      <c r="A376" t="s">
        <v>125</v>
      </c>
      <c r="B376" t="s">
        <v>42</v>
      </c>
      <c r="C376">
        <v>2004</v>
      </c>
      <c r="D376" t="s">
        <v>18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  <c r="S376" t="s">
        <v>18</v>
      </c>
      <c r="T376" t="s">
        <v>18</v>
      </c>
    </row>
    <row r="377" spans="1:20" x14ac:dyDescent="0.2">
      <c r="A377" t="s">
        <v>125</v>
      </c>
      <c r="B377" t="s">
        <v>42</v>
      </c>
      <c r="C377">
        <v>2005</v>
      </c>
      <c r="D377" t="s">
        <v>18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  <c r="S377" t="s">
        <v>18</v>
      </c>
      <c r="T377" t="s">
        <v>18</v>
      </c>
    </row>
    <row r="378" spans="1:20" x14ac:dyDescent="0.2">
      <c r="A378" t="s">
        <v>125</v>
      </c>
      <c r="B378" t="s">
        <v>42</v>
      </c>
      <c r="C378">
        <v>2006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</row>
    <row r="379" spans="1:20" x14ac:dyDescent="0.2">
      <c r="A379" t="s">
        <v>125</v>
      </c>
      <c r="B379" t="s">
        <v>42</v>
      </c>
      <c r="C379">
        <v>2007</v>
      </c>
      <c r="D379" t="s">
        <v>18</v>
      </c>
      <c r="E379" t="s">
        <v>18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  <c r="S379" t="s">
        <v>18</v>
      </c>
      <c r="T379" t="s">
        <v>18</v>
      </c>
    </row>
    <row r="380" spans="1:20" x14ac:dyDescent="0.2">
      <c r="A380" t="s">
        <v>125</v>
      </c>
      <c r="B380" t="s">
        <v>42</v>
      </c>
      <c r="C380">
        <v>2008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  <c r="S380" t="s">
        <v>18</v>
      </c>
      <c r="T380" t="s">
        <v>18</v>
      </c>
    </row>
    <row r="381" spans="1:20" x14ac:dyDescent="0.2">
      <c r="A381" t="s">
        <v>125</v>
      </c>
      <c r="B381" t="s">
        <v>42</v>
      </c>
      <c r="C381">
        <v>2009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</row>
    <row r="382" spans="1:20" x14ac:dyDescent="0.2">
      <c r="A382" t="s">
        <v>125</v>
      </c>
      <c r="B382" t="s">
        <v>42</v>
      </c>
      <c r="C382">
        <v>2010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</row>
    <row r="383" spans="1:20" x14ac:dyDescent="0.2">
      <c r="A383" t="s">
        <v>125</v>
      </c>
      <c r="B383" t="s">
        <v>42</v>
      </c>
      <c r="C383">
        <v>2011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</row>
    <row r="384" spans="1:20" x14ac:dyDescent="0.2">
      <c r="A384" t="s">
        <v>125</v>
      </c>
      <c r="B384" t="s">
        <v>42</v>
      </c>
      <c r="C384">
        <v>2012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  <c r="S384" t="s">
        <v>18</v>
      </c>
      <c r="T384" t="s">
        <v>18</v>
      </c>
    </row>
    <row r="385" spans="1:20" x14ac:dyDescent="0.2">
      <c r="A385" t="s">
        <v>125</v>
      </c>
      <c r="B385" t="s">
        <v>42</v>
      </c>
      <c r="C385">
        <v>2013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</row>
    <row r="386" spans="1:20" x14ac:dyDescent="0.2">
      <c r="A386" t="s">
        <v>125</v>
      </c>
      <c r="B386" t="s">
        <v>42</v>
      </c>
      <c r="C386">
        <v>2014</v>
      </c>
      <c r="D386" t="s">
        <v>18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</row>
    <row r="387" spans="1:20" x14ac:dyDescent="0.2">
      <c r="A387" t="s">
        <v>125</v>
      </c>
      <c r="B387" t="s">
        <v>42</v>
      </c>
      <c r="C387">
        <v>2015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</row>
    <row r="388" spans="1:20" x14ac:dyDescent="0.2">
      <c r="A388" t="s">
        <v>125</v>
      </c>
      <c r="B388" t="s">
        <v>42</v>
      </c>
      <c r="C388">
        <v>2016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</row>
    <row r="389" spans="1:20" x14ac:dyDescent="0.2">
      <c r="A389" t="s">
        <v>125</v>
      </c>
      <c r="B389" t="s">
        <v>42</v>
      </c>
      <c r="C389">
        <v>2017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</row>
    <row r="390" spans="1:20" x14ac:dyDescent="0.2">
      <c r="A390" t="s">
        <v>125</v>
      </c>
      <c r="B390" t="s">
        <v>42</v>
      </c>
      <c r="C390">
        <v>2018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  <c r="S390" t="s">
        <v>18</v>
      </c>
      <c r="T390" t="s">
        <v>18</v>
      </c>
    </row>
    <row r="391" spans="1:20" x14ac:dyDescent="0.2">
      <c r="A391" t="s">
        <v>125</v>
      </c>
      <c r="B391" t="s">
        <v>42</v>
      </c>
      <c r="C391">
        <v>2019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  <c r="S391" t="s">
        <v>18</v>
      </c>
      <c r="T391" t="s">
        <v>18</v>
      </c>
    </row>
    <row r="392" spans="1:20" x14ac:dyDescent="0.2">
      <c r="A392" t="s">
        <v>125</v>
      </c>
      <c r="B392" t="s">
        <v>42</v>
      </c>
      <c r="C392">
        <v>2020</v>
      </c>
      <c r="D392">
        <v>390051000</v>
      </c>
      <c r="E392" t="s">
        <v>18</v>
      </c>
      <c r="F392">
        <v>5872000</v>
      </c>
      <c r="G392">
        <v>5330000</v>
      </c>
      <c r="H392">
        <v>183504000</v>
      </c>
      <c r="I392" t="s">
        <v>18</v>
      </c>
      <c r="J392" t="s">
        <v>18</v>
      </c>
      <c r="K392">
        <v>21668000</v>
      </c>
      <c r="L392" t="s">
        <v>18</v>
      </c>
      <c r="M392" t="s">
        <v>18</v>
      </c>
      <c r="N392" t="s">
        <v>18</v>
      </c>
      <c r="O392" t="s">
        <v>18</v>
      </c>
      <c r="P392">
        <v>13.946669999999999</v>
      </c>
      <c r="Q392">
        <v>12.65108</v>
      </c>
      <c r="R392" t="s">
        <v>18</v>
      </c>
      <c r="S392" t="s">
        <v>18</v>
      </c>
      <c r="T392">
        <v>189376000</v>
      </c>
    </row>
    <row r="393" spans="1:20" x14ac:dyDescent="0.2">
      <c r="A393" t="s">
        <v>125</v>
      </c>
      <c r="B393" t="s">
        <v>42</v>
      </c>
      <c r="C393">
        <v>2021</v>
      </c>
      <c r="D393">
        <v>415566000</v>
      </c>
      <c r="E393" t="s">
        <v>18</v>
      </c>
      <c r="F393">
        <v>3979000</v>
      </c>
      <c r="G393">
        <v>11660000</v>
      </c>
      <c r="H393">
        <v>203390000</v>
      </c>
      <c r="I393" t="s">
        <v>18</v>
      </c>
      <c r="J393" t="s">
        <v>18</v>
      </c>
      <c r="K393">
        <v>21294000</v>
      </c>
      <c r="L393" t="s">
        <v>18</v>
      </c>
      <c r="M393" t="s">
        <v>18</v>
      </c>
      <c r="N393" t="s">
        <v>18</v>
      </c>
      <c r="O393" t="s">
        <v>18</v>
      </c>
      <c r="P393">
        <v>10.81798</v>
      </c>
      <c r="Q393">
        <v>9.8308</v>
      </c>
      <c r="R393" t="s">
        <v>18</v>
      </c>
      <c r="S393" t="s">
        <v>18</v>
      </c>
      <c r="T393">
        <v>207369000</v>
      </c>
    </row>
    <row r="394" spans="1:20" x14ac:dyDescent="0.2">
      <c r="A394" t="s">
        <v>125</v>
      </c>
      <c r="B394" t="s">
        <v>42</v>
      </c>
      <c r="C394">
        <v>2022</v>
      </c>
      <c r="D394">
        <v>415566000</v>
      </c>
      <c r="E394" t="s">
        <v>18</v>
      </c>
      <c r="F394">
        <v>3979000</v>
      </c>
      <c r="G394">
        <v>11660000</v>
      </c>
      <c r="H394">
        <v>203390000</v>
      </c>
      <c r="I394" t="s">
        <v>18</v>
      </c>
      <c r="J394" t="s">
        <v>18</v>
      </c>
      <c r="K394">
        <v>21294000</v>
      </c>
      <c r="L394" t="s">
        <v>18</v>
      </c>
      <c r="M394" t="s">
        <v>18</v>
      </c>
      <c r="N394" t="s">
        <v>18</v>
      </c>
      <c r="O394" t="s">
        <v>18</v>
      </c>
      <c r="P394">
        <v>10.81798</v>
      </c>
      <c r="Q394">
        <v>9.8308</v>
      </c>
      <c r="R394" t="s">
        <v>18</v>
      </c>
      <c r="S394" t="s">
        <v>18</v>
      </c>
      <c r="T394">
        <v>207369000</v>
      </c>
    </row>
    <row r="395" spans="1:20" x14ac:dyDescent="0.2">
      <c r="A395" t="s">
        <v>125</v>
      </c>
      <c r="B395" t="s">
        <v>42</v>
      </c>
      <c r="C395">
        <v>2023</v>
      </c>
      <c r="D395">
        <v>541417000</v>
      </c>
      <c r="E395">
        <v>-560876100</v>
      </c>
      <c r="F395">
        <v>4647000</v>
      </c>
      <c r="G395">
        <v>27349000</v>
      </c>
      <c r="H395">
        <v>211416000</v>
      </c>
      <c r="I395">
        <v>-26.532745403816001</v>
      </c>
      <c r="J395">
        <v>2089250100</v>
      </c>
      <c r="K395">
        <v>6038000</v>
      </c>
      <c r="L395">
        <v>45.263077290708601</v>
      </c>
      <c r="M395" t="s">
        <v>18</v>
      </c>
      <c r="N395" t="s">
        <v>18</v>
      </c>
      <c r="O395" t="s">
        <v>18</v>
      </c>
      <c r="P395">
        <v>4.1464699999999999</v>
      </c>
      <c r="Q395">
        <v>3.2577699999999998</v>
      </c>
      <c r="R395">
        <v>16004500</v>
      </c>
      <c r="S395">
        <v>0</v>
      </c>
      <c r="T395">
        <v>216063000</v>
      </c>
    </row>
    <row r="396" spans="1:20" x14ac:dyDescent="0.2">
      <c r="A396" t="s">
        <v>125</v>
      </c>
      <c r="B396" t="s">
        <v>42</v>
      </c>
      <c r="C396">
        <v>2024</v>
      </c>
      <c r="D396">
        <v>1150000000</v>
      </c>
      <c r="E396">
        <v>-652201820</v>
      </c>
      <c r="F396">
        <v>10000000</v>
      </c>
      <c r="G396">
        <v>767000000</v>
      </c>
      <c r="H396">
        <v>747000000</v>
      </c>
      <c r="I396">
        <v>26.765242143211101</v>
      </c>
      <c r="J396">
        <v>1069256475</v>
      </c>
      <c r="K396">
        <v>24000000</v>
      </c>
      <c r="L396">
        <v>20.123771908725502</v>
      </c>
      <c r="M396" t="s">
        <v>18</v>
      </c>
      <c r="N396">
        <v>57.804925471601898</v>
      </c>
      <c r="O396">
        <v>760.83236842105305</v>
      </c>
      <c r="P396">
        <v>4.3872900000000001</v>
      </c>
      <c r="Q396">
        <v>3.4795799999999999</v>
      </c>
      <c r="R396">
        <v>-29151330</v>
      </c>
      <c r="S396">
        <v>0</v>
      </c>
      <c r="T396">
        <v>757000000</v>
      </c>
    </row>
    <row r="397" spans="1:20" x14ac:dyDescent="0.2">
      <c r="A397" t="s">
        <v>125</v>
      </c>
      <c r="B397" t="s">
        <v>42</v>
      </c>
      <c r="C397">
        <v>2025</v>
      </c>
      <c r="D397">
        <v>1165100000</v>
      </c>
      <c r="E397">
        <v>-626324890</v>
      </c>
      <c r="F397">
        <v>39900000</v>
      </c>
      <c r="G397">
        <v>684000000</v>
      </c>
      <c r="H397">
        <v>752600000</v>
      </c>
      <c r="I397">
        <v>112.362976557642</v>
      </c>
      <c r="J397">
        <v>969467625</v>
      </c>
      <c r="K397">
        <v>4600000</v>
      </c>
      <c r="L397">
        <v>18.097686139521201</v>
      </c>
      <c r="M397">
        <v>84.787905646981301</v>
      </c>
      <c r="N397">
        <v>62.954743212359197</v>
      </c>
      <c r="O397">
        <v>9.6914110429447895</v>
      </c>
      <c r="P397">
        <v>1.41978</v>
      </c>
      <c r="Q397">
        <v>-0.15381</v>
      </c>
      <c r="R397">
        <v>6358000</v>
      </c>
      <c r="S397">
        <v>0</v>
      </c>
      <c r="T397">
        <v>792500000</v>
      </c>
    </row>
    <row r="398" spans="1:20" x14ac:dyDescent="0.2">
      <c r="A398" t="s">
        <v>119</v>
      </c>
      <c r="B398" t="s">
        <v>43</v>
      </c>
      <c r="C398">
        <v>2004</v>
      </c>
      <c r="D398">
        <v>251965000</v>
      </c>
      <c r="E398" t="s">
        <v>18</v>
      </c>
      <c r="F398">
        <v>49308000</v>
      </c>
      <c r="G398">
        <v>4617000</v>
      </c>
      <c r="H398">
        <v>44866000</v>
      </c>
      <c r="I398" t="s">
        <v>18</v>
      </c>
      <c r="J398" t="s">
        <v>18</v>
      </c>
      <c r="K398">
        <v>-154095000</v>
      </c>
      <c r="L398" t="s">
        <v>18</v>
      </c>
      <c r="M398" t="s">
        <v>18</v>
      </c>
      <c r="N398" t="s">
        <v>18</v>
      </c>
      <c r="O398" t="s">
        <v>18</v>
      </c>
      <c r="P398">
        <v>-20.54974</v>
      </c>
      <c r="Q398">
        <v>-31.620470000000001</v>
      </c>
      <c r="R398" t="s">
        <v>18</v>
      </c>
      <c r="S398" t="s">
        <v>18</v>
      </c>
      <c r="T398">
        <v>94174000</v>
      </c>
    </row>
    <row r="399" spans="1:20" x14ac:dyDescent="0.2">
      <c r="A399" t="s">
        <v>119</v>
      </c>
      <c r="B399" t="s">
        <v>43</v>
      </c>
      <c r="C399">
        <v>2005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>
        <v>244686184.48444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  <c r="S399" t="s">
        <v>18</v>
      </c>
      <c r="T399" t="s">
        <v>18</v>
      </c>
    </row>
    <row r="400" spans="1:20" x14ac:dyDescent="0.2">
      <c r="A400" t="s">
        <v>119</v>
      </c>
      <c r="B400" t="s">
        <v>43</v>
      </c>
      <c r="C400">
        <v>2006</v>
      </c>
      <c r="D400">
        <v>231373000</v>
      </c>
      <c r="E400">
        <v>-54000000</v>
      </c>
      <c r="F400">
        <v>7057000</v>
      </c>
      <c r="G400">
        <v>19493000</v>
      </c>
      <c r="H400">
        <v>63453000</v>
      </c>
      <c r="I400" t="s">
        <v>18</v>
      </c>
      <c r="J400">
        <v>804312186.15049005</v>
      </c>
      <c r="K400">
        <v>-8217000</v>
      </c>
      <c r="L400" t="s">
        <v>18</v>
      </c>
      <c r="M400">
        <v>-8.4669619792464097</v>
      </c>
      <c r="N400" t="s">
        <v>18</v>
      </c>
      <c r="O400" t="s">
        <v>18</v>
      </c>
      <c r="P400">
        <v>4.1046100000000001</v>
      </c>
      <c r="Q400">
        <v>0.31912000000000001</v>
      </c>
      <c r="R400">
        <v>15545000</v>
      </c>
      <c r="S400" t="s">
        <v>18</v>
      </c>
      <c r="T400">
        <v>70510000</v>
      </c>
    </row>
    <row r="401" spans="1:20" x14ac:dyDescent="0.2">
      <c r="A401" t="s">
        <v>119</v>
      </c>
      <c r="B401" t="s">
        <v>43</v>
      </c>
      <c r="C401">
        <v>2007</v>
      </c>
      <c r="D401">
        <v>457441000</v>
      </c>
      <c r="E401">
        <v>-147523330</v>
      </c>
      <c r="F401">
        <v>1199000</v>
      </c>
      <c r="G401">
        <v>131909000</v>
      </c>
      <c r="H401">
        <v>146235000</v>
      </c>
      <c r="I401" t="s">
        <v>18</v>
      </c>
      <c r="J401">
        <v>2242648794.70187</v>
      </c>
      <c r="K401">
        <v>12588000</v>
      </c>
      <c r="L401" t="s">
        <v>18</v>
      </c>
      <c r="M401">
        <v>-3.0323420509588499</v>
      </c>
      <c r="N401" t="s">
        <v>18</v>
      </c>
      <c r="O401" t="s">
        <v>18</v>
      </c>
      <c r="P401">
        <v>-1.06318</v>
      </c>
      <c r="Q401">
        <v>-4.29223</v>
      </c>
      <c r="R401">
        <v>46336200</v>
      </c>
      <c r="S401" t="s">
        <v>18</v>
      </c>
      <c r="T401">
        <v>149725000</v>
      </c>
    </row>
    <row r="402" spans="1:20" x14ac:dyDescent="0.2">
      <c r="A402" t="s">
        <v>119</v>
      </c>
      <c r="B402" t="s">
        <v>43</v>
      </c>
      <c r="C402">
        <v>2008</v>
      </c>
      <c r="D402">
        <v>703769000</v>
      </c>
      <c r="E402">
        <v>-171344890</v>
      </c>
      <c r="F402">
        <v>8935000</v>
      </c>
      <c r="G402">
        <v>212187000</v>
      </c>
      <c r="H402">
        <v>270408000</v>
      </c>
      <c r="I402" t="s">
        <v>18</v>
      </c>
      <c r="J402">
        <v>629011207.62595499</v>
      </c>
      <c r="K402">
        <v>47901000</v>
      </c>
      <c r="L402" t="s">
        <v>18</v>
      </c>
      <c r="M402">
        <v>-1.86100017303317</v>
      </c>
      <c r="N402" t="s">
        <v>18</v>
      </c>
      <c r="O402" t="s">
        <v>18</v>
      </c>
      <c r="P402">
        <v>7.7434700000000003</v>
      </c>
      <c r="Q402">
        <v>5.7337199999999999</v>
      </c>
      <c r="R402">
        <v>63407220</v>
      </c>
      <c r="S402" t="s">
        <v>18</v>
      </c>
      <c r="T402">
        <v>280782000</v>
      </c>
    </row>
    <row r="403" spans="1:20" x14ac:dyDescent="0.2">
      <c r="A403" t="s">
        <v>119</v>
      </c>
      <c r="B403" t="s">
        <v>43</v>
      </c>
      <c r="C403">
        <v>2009</v>
      </c>
      <c r="D403">
        <v>854280000</v>
      </c>
      <c r="E403">
        <v>-43644200</v>
      </c>
      <c r="F403">
        <v>23456000</v>
      </c>
      <c r="G403">
        <v>111711000</v>
      </c>
      <c r="H403">
        <v>321094000</v>
      </c>
      <c r="I403" t="s">
        <v>18</v>
      </c>
      <c r="J403">
        <v>728610180.05655599</v>
      </c>
      <c r="K403">
        <v>50679000</v>
      </c>
      <c r="L403" t="s">
        <v>18</v>
      </c>
      <c r="M403">
        <v>40.5755503575297</v>
      </c>
      <c r="N403" t="s">
        <v>18</v>
      </c>
      <c r="O403" t="s">
        <v>18</v>
      </c>
      <c r="P403">
        <v>7.2770799999999998</v>
      </c>
      <c r="Q403">
        <v>5.8750200000000001</v>
      </c>
      <c r="R403">
        <v>38617190</v>
      </c>
      <c r="S403">
        <v>100</v>
      </c>
      <c r="T403">
        <v>347897000</v>
      </c>
    </row>
    <row r="404" spans="1:20" x14ac:dyDescent="0.2">
      <c r="A404" t="s">
        <v>119</v>
      </c>
      <c r="B404" t="s">
        <v>43</v>
      </c>
      <c r="C404">
        <v>2010</v>
      </c>
      <c r="D404">
        <v>840382000</v>
      </c>
      <c r="E404">
        <v>-11523440</v>
      </c>
      <c r="F404">
        <v>100389000</v>
      </c>
      <c r="G404">
        <v>159886000</v>
      </c>
      <c r="H404">
        <v>345319000</v>
      </c>
      <c r="I404" t="s">
        <v>18</v>
      </c>
      <c r="J404">
        <v>325401341.932464</v>
      </c>
      <c r="K404">
        <v>23922000</v>
      </c>
      <c r="L404" t="s">
        <v>18</v>
      </c>
      <c r="M404">
        <v>50.839576676654097</v>
      </c>
      <c r="N404" t="s">
        <v>18</v>
      </c>
      <c r="O404" t="s">
        <v>18</v>
      </c>
      <c r="P404">
        <v>5.2287800000000004</v>
      </c>
      <c r="Q404">
        <v>3.7081300000000001</v>
      </c>
      <c r="R404">
        <v>41682230</v>
      </c>
      <c r="S404">
        <v>100</v>
      </c>
      <c r="T404">
        <v>448218000</v>
      </c>
    </row>
    <row r="405" spans="1:20" x14ac:dyDescent="0.2">
      <c r="A405" t="s">
        <v>119</v>
      </c>
      <c r="B405" t="s">
        <v>43</v>
      </c>
      <c r="C405">
        <v>2011</v>
      </c>
      <c r="D405">
        <v>986981000</v>
      </c>
      <c r="E405">
        <v>-16019000</v>
      </c>
      <c r="F405">
        <v>130863000</v>
      </c>
      <c r="G405">
        <v>141050000</v>
      </c>
      <c r="H405">
        <v>368071000</v>
      </c>
      <c r="I405" t="s">
        <v>18</v>
      </c>
      <c r="J405">
        <v>291029608.51540798</v>
      </c>
      <c r="K405">
        <v>19676000</v>
      </c>
      <c r="L405" t="s">
        <v>18</v>
      </c>
      <c r="M405">
        <v>55.227552389227199</v>
      </c>
      <c r="N405" t="s">
        <v>18</v>
      </c>
      <c r="O405" t="s">
        <v>18</v>
      </c>
      <c r="P405">
        <v>7.0216000000000003</v>
      </c>
      <c r="Q405">
        <v>4.7038000000000002</v>
      </c>
      <c r="R405">
        <v>-16054440</v>
      </c>
      <c r="S405">
        <v>100</v>
      </c>
      <c r="T405">
        <v>501698000</v>
      </c>
    </row>
    <row r="406" spans="1:20" x14ac:dyDescent="0.2">
      <c r="A406" t="s">
        <v>119</v>
      </c>
      <c r="B406" t="s">
        <v>43</v>
      </c>
      <c r="C406">
        <v>2012</v>
      </c>
      <c r="D406">
        <v>1028987000</v>
      </c>
      <c r="E406">
        <v>36199750</v>
      </c>
      <c r="F406">
        <v>245034000</v>
      </c>
      <c r="G406">
        <v>211977000</v>
      </c>
      <c r="H406">
        <v>374362000</v>
      </c>
      <c r="I406" t="s">
        <v>18</v>
      </c>
      <c r="J406">
        <v>215735444.64382401</v>
      </c>
      <c r="K406">
        <v>-49465000</v>
      </c>
      <c r="L406" t="s">
        <v>18</v>
      </c>
      <c r="M406">
        <v>20.733407810463799</v>
      </c>
      <c r="N406" t="s">
        <v>18</v>
      </c>
      <c r="O406" t="s">
        <v>18</v>
      </c>
      <c r="P406">
        <v>0.27085999999999999</v>
      </c>
      <c r="Q406">
        <v>-2.7875100000000002</v>
      </c>
      <c r="R406">
        <v>13309430</v>
      </c>
      <c r="S406">
        <v>100</v>
      </c>
      <c r="T406">
        <v>621587000</v>
      </c>
    </row>
    <row r="407" spans="1:20" x14ac:dyDescent="0.2">
      <c r="A407" t="s">
        <v>119</v>
      </c>
      <c r="B407" t="s">
        <v>43</v>
      </c>
      <c r="C407">
        <v>2013</v>
      </c>
      <c r="D407">
        <v>1066052000</v>
      </c>
      <c r="E407">
        <v>-15764000</v>
      </c>
      <c r="F407">
        <v>220635000</v>
      </c>
      <c r="G407">
        <v>274635000</v>
      </c>
      <c r="H407">
        <v>278716000</v>
      </c>
      <c r="I407" t="s">
        <v>18</v>
      </c>
      <c r="J407">
        <v>786397697.27825606</v>
      </c>
      <c r="K407">
        <v>-87924000</v>
      </c>
      <c r="L407" t="s">
        <v>18</v>
      </c>
      <c r="M407">
        <v>13.8877681167291</v>
      </c>
      <c r="N407" t="s">
        <v>18</v>
      </c>
      <c r="O407" t="s">
        <v>18</v>
      </c>
      <c r="P407">
        <v>1.32311</v>
      </c>
      <c r="Q407">
        <v>-5.1162900000000002</v>
      </c>
      <c r="R407">
        <v>43156800</v>
      </c>
      <c r="S407">
        <v>100</v>
      </c>
      <c r="T407">
        <v>499626000</v>
      </c>
    </row>
    <row r="408" spans="1:20" x14ac:dyDescent="0.2">
      <c r="A408" t="s">
        <v>119</v>
      </c>
      <c r="B408" t="s">
        <v>43</v>
      </c>
      <c r="C408">
        <v>2014</v>
      </c>
      <c r="D408">
        <v>1191359000</v>
      </c>
      <c r="E408">
        <v>-174102750</v>
      </c>
      <c r="F408">
        <v>192686000</v>
      </c>
      <c r="G408">
        <v>332852000</v>
      </c>
      <c r="H408">
        <v>368135000</v>
      </c>
      <c r="I408">
        <v>-1.26870486757592</v>
      </c>
      <c r="J408">
        <v>1253272952.69981</v>
      </c>
      <c r="K408">
        <v>10263000</v>
      </c>
      <c r="L408">
        <v>3.5933062318057898</v>
      </c>
      <c r="M408">
        <v>0.30457500800131798</v>
      </c>
      <c r="N408" t="s">
        <v>18</v>
      </c>
      <c r="O408">
        <v>0.57464182013986398</v>
      </c>
      <c r="P408">
        <v>6.5500999999999996</v>
      </c>
      <c r="Q408">
        <v>3.8050000000000002</v>
      </c>
      <c r="R408">
        <v>81657000</v>
      </c>
      <c r="S408">
        <v>100</v>
      </c>
      <c r="T408">
        <v>560821000</v>
      </c>
    </row>
    <row r="409" spans="1:20" x14ac:dyDescent="0.2">
      <c r="A409" t="s">
        <v>119</v>
      </c>
      <c r="B409" t="s">
        <v>43</v>
      </c>
      <c r="C409">
        <v>2015</v>
      </c>
      <c r="D409">
        <v>1239850000</v>
      </c>
      <c r="E409">
        <v>-221423460</v>
      </c>
      <c r="F409">
        <v>156189000</v>
      </c>
      <c r="G409">
        <v>313028000</v>
      </c>
      <c r="H409">
        <v>395999000</v>
      </c>
      <c r="I409">
        <v>-1.0676776620856501</v>
      </c>
      <c r="J409">
        <v>2529193068.62427</v>
      </c>
      <c r="K409">
        <v>39006000</v>
      </c>
      <c r="L409">
        <v>15.9915194980991</v>
      </c>
      <c r="M409">
        <v>6.7643861319590002</v>
      </c>
      <c r="N409" t="s">
        <v>18</v>
      </c>
      <c r="O409">
        <v>-8.1769286678434199</v>
      </c>
      <c r="P409">
        <v>6.4175300000000002</v>
      </c>
      <c r="Q409">
        <v>3.7926099999999998</v>
      </c>
      <c r="R409">
        <v>131754620</v>
      </c>
      <c r="S409">
        <v>100</v>
      </c>
      <c r="T409">
        <v>552188000</v>
      </c>
    </row>
    <row r="410" spans="1:20" x14ac:dyDescent="0.2">
      <c r="A410" t="s">
        <v>119</v>
      </c>
      <c r="B410" t="s">
        <v>43</v>
      </c>
      <c r="C410">
        <v>2016</v>
      </c>
      <c r="D410">
        <v>1460128000</v>
      </c>
      <c r="E410">
        <v>67870500</v>
      </c>
      <c r="F410">
        <v>207003000</v>
      </c>
      <c r="G410">
        <v>528973000</v>
      </c>
      <c r="H410">
        <v>455597000</v>
      </c>
      <c r="I410">
        <v>0.19569850868820099</v>
      </c>
      <c r="J410">
        <v>1920251632.80321</v>
      </c>
      <c r="K410">
        <v>52272000</v>
      </c>
      <c r="L410">
        <v>11.1861731094115</v>
      </c>
      <c r="M410">
        <v>-0.18312365611380399</v>
      </c>
      <c r="N410" t="s">
        <v>18</v>
      </c>
      <c r="O410">
        <v>150.46480500844501</v>
      </c>
      <c r="P410">
        <v>7.5684399999999998</v>
      </c>
      <c r="Q410">
        <v>5.2582899999999997</v>
      </c>
      <c r="R410">
        <v>175018430</v>
      </c>
      <c r="S410">
        <v>100</v>
      </c>
      <c r="T410">
        <v>662600000</v>
      </c>
    </row>
    <row r="411" spans="1:20" x14ac:dyDescent="0.2">
      <c r="A411" t="s">
        <v>119</v>
      </c>
      <c r="B411" t="s">
        <v>43</v>
      </c>
      <c r="C411">
        <v>2017</v>
      </c>
      <c r="D411">
        <v>2994214000</v>
      </c>
      <c r="E411">
        <v>133246000</v>
      </c>
      <c r="F411">
        <v>644533000</v>
      </c>
      <c r="G411">
        <v>649464000</v>
      </c>
      <c r="H411">
        <v>940011000</v>
      </c>
      <c r="I411">
        <v>0.66239466617847997</v>
      </c>
      <c r="J411">
        <v>780029518.57389998</v>
      </c>
      <c r="K411">
        <v>95353000</v>
      </c>
      <c r="L411">
        <v>-17.688393453181501</v>
      </c>
      <c r="M411">
        <v>16.5043938348356</v>
      </c>
      <c r="N411" t="s">
        <v>18</v>
      </c>
      <c r="O411">
        <v>50.755241359611503</v>
      </c>
      <c r="P411">
        <v>8.4425699999999999</v>
      </c>
      <c r="Q411">
        <v>4.9973599999999996</v>
      </c>
      <c r="R411">
        <v>104905000</v>
      </c>
      <c r="S411">
        <v>100</v>
      </c>
      <c r="T411">
        <v>1584544000</v>
      </c>
    </row>
    <row r="412" spans="1:20" x14ac:dyDescent="0.2">
      <c r="A412" t="s">
        <v>119</v>
      </c>
      <c r="B412" t="s">
        <v>43</v>
      </c>
      <c r="C412">
        <v>2018</v>
      </c>
      <c r="D412">
        <v>2807589000</v>
      </c>
      <c r="E412">
        <v>102843400</v>
      </c>
      <c r="F412">
        <v>686453000</v>
      </c>
      <c r="G412">
        <v>623179000</v>
      </c>
      <c r="H412">
        <v>918990000</v>
      </c>
      <c r="I412">
        <v>1.12034193158901</v>
      </c>
      <c r="J412">
        <v>840837439.39725995</v>
      </c>
      <c r="K412">
        <v>329000</v>
      </c>
      <c r="L412">
        <v>21.318664865260999</v>
      </c>
      <c r="M412">
        <v>22.5991447681007</v>
      </c>
      <c r="N412" t="s">
        <v>18</v>
      </c>
      <c r="O412">
        <v>-28.0949588674825</v>
      </c>
      <c r="P412">
        <v>7.5081499999999997</v>
      </c>
      <c r="Q412">
        <v>2.3170500000000001</v>
      </c>
      <c r="R412">
        <v>-22473420</v>
      </c>
      <c r="S412">
        <v>100</v>
      </c>
      <c r="T412">
        <v>1605443000</v>
      </c>
    </row>
    <row r="413" spans="1:20" x14ac:dyDescent="0.2">
      <c r="A413" t="s">
        <v>119</v>
      </c>
      <c r="B413" t="s">
        <v>43</v>
      </c>
      <c r="C413">
        <v>2019</v>
      </c>
      <c r="D413">
        <v>3058536000</v>
      </c>
      <c r="E413">
        <v>78204400</v>
      </c>
      <c r="F413">
        <v>645160000</v>
      </c>
      <c r="G413">
        <v>609805000</v>
      </c>
      <c r="H413">
        <v>697290000</v>
      </c>
      <c r="I413">
        <v>0.53819715107160404</v>
      </c>
      <c r="J413">
        <v>1320706382.1779599</v>
      </c>
      <c r="K413">
        <v>-83853000</v>
      </c>
      <c r="L413">
        <v>16.770421594412301</v>
      </c>
      <c r="M413">
        <v>9.1567992826207405</v>
      </c>
      <c r="N413">
        <v>49.286684195622101</v>
      </c>
      <c r="O413">
        <v>40.870789827854701</v>
      </c>
      <c r="P413">
        <v>4.6618599999999999</v>
      </c>
      <c r="Q413">
        <v>-1.67547</v>
      </c>
      <c r="R413">
        <v>14657890</v>
      </c>
      <c r="S413">
        <v>99.969700000000003</v>
      </c>
      <c r="T413">
        <v>1342450000</v>
      </c>
    </row>
    <row r="414" spans="1:20" x14ac:dyDescent="0.2">
      <c r="A414" t="s">
        <v>119</v>
      </c>
      <c r="B414" t="s">
        <v>43</v>
      </c>
      <c r="C414">
        <v>2020</v>
      </c>
      <c r="D414">
        <v>4002747000</v>
      </c>
      <c r="E414">
        <v>163894000</v>
      </c>
      <c r="F414">
        <v>701387000</v>
      </c>
      <c r="G414">
        <v>509998000</v>
      </c>
      <c r="H414">
        <v>745387000</v>
      </c>
      <c r="I414">
        <v>2.0573652500919102</v>
      </c>
      <c r="J414">
        <v>2124011642.8728299</v>
      </c>
      <c r="K414">
        <v>-72570000</v>
      </c>
      <c r="L414">
        <v>5.1956796019517304</v>
      </c>
      <c r="M414">
        <v>17.6291966322236</v>
      </c>
      <c r="N414">
        <v>51.1133761686703</v>
      </c>
      <c r="O414">
        <v>-9.2116762239575802</v>
      </c>
      <c r="P414">
        <v>4.5955700000000004</v>
      </c>
      <c r="Q414">
        <v>0.22947000000000001</v>
      </c>
      <c r="R414">
        <v>-55387130</v>
      </c>
      <c r="S414">
        <v>99.973799999999997</v>
      </c>
      <c r="T414">
        <v>1446774000</v>
      </c>
    </row>
    <row r="415" spans="1:20" x14ac:dyDescent="0.2">
      <c r="A415" t="s">
        <v>119</v>
      </c>
      <c r="B415" t="s">
        <v>43</v>
      </c>
      <c r="C415">
        <v>2021</v>
      </c>
      <c r="D415">
        <v>4410050000</v>
      </c>
      <c r="E415">
        <v>11666670</v>
      </c>
      <c r="F415">
        <v>919834000</v>
      </c>
      <c r="G415">
        <v>778357000</v>
      </c>
      <c r="H415">
        <v>773533000</v>
      </c>
      <c r="I415">
        <v>-3.3521697900117098</v>
      </c>
      <c r="J415">
        <v>2494727554.1304598</v>
      </c>
      <c r="K415">
        <v>-129705000</v>
      </c>
      <c r="L415">
        <v>-4.1357133967527E-2</v>
      </c>
      <c r="M415">
        <v>15.783796712087099</v>
      </c>
      <c r="N415">
        <v>72.0875120070192</v>
      </c>
      <c r="O415">
        <v>12.5931648968632</v>
      </c>
      <c r="P415">
        <v>-5.7135600000000002</v>
      </c>
      <c r="Q415">
        <v>-9.0634399999999999</v>
      </c>
      <c r="R415">
        <v>-48639670</v>
      </c>
      <c r="S415">
        <v>99.954700000000003</v>
      </c>
      <c r="T415">
        <v>1693367000</v>
      </c>
    </row>
    <row r="416" spans="1:20" x14ac:dyDescent="0.2">
      <c r="A416" t="s">
        <v>119</v>
      </c>
      <c r="B416" t="s">
        <v>43</v>
      </c>
      <c r="C416">
        <v>2022</v>
      </c>
      <c r="D416">
        <v>4107630000</v>
      </c>
      <c r="E416">
        <v>-146696000</v>
      </c>
      <c r="F416">
        <v>487002000</v>
      </c>
      <c r="G416">
        <v>784440000</v>
      </c>
      <c r="H416">
        <v>1062395000</v>
      </c>
      <c r="I416">
        <v>0.66709079554936501</v>
      </c>
      <c r="J416">
        <v>2600580205.29</v>
      </c>
      <c r="K416">
        <v>-230156000</v>
      </c>
      <c r="L416">
        <v>3.46315314503383</v>
      </c>
      <c r="M416">
        <v>10.0653603031771</v>
      </c>
      <c r="N416">
        <v>76.008090149370105</v>
      </c>
      <c r="O416">
        <v>17.286145412749399</v>
      </c>
      <c r="P416">
        <v>1.5944100000000001</v>
      </c>
      <c r="Q416">
        <v>-1.3446100000000001</v>
      </c>
      <c r="R416">
        <v>-380942200</v>
      </c>
      <c r="S416">
        <v>99.989500000000007</v>
      </c>
      <c r="T416">
        <v>1549397000</v>
      </c>
    </row>
    <row r="417" spans="1:20" x14ac:dyDescent="0.2">
      <c r="A417" t="s">
        <v>119</v>
      </c>
      <c r="B417" t="s">
        <v>43</v>
      </c>
      <c r="C417">
        <v>2023</v>
      </c>
      <c r="D417">
        <v>4756659000</v>
      </c>
      <c r="E417">
        <v>-152837000</v>
      </c>
      <c r="F417">
        <v>581892000</v>
      </c>
      <c r="G417">
        <v>633541000</v>
      </c>
      <c r="H417">
        <v>878059000</v>
      </c>
      <c r="I417">
        <v>-6.7669446641551501</v>
      </c>
      <c r="J417">
        <v>2438985504.6599998</v>
      </c>
      <c r="K417">
        <v>-497761000</v>
      </c>
      <c r="L417">
        <v>3.25462138998226</v>
      </c>
      <c r="M417">
        <v>6.3307237361692099</v>
      </c>
      <c r="N417">
        <v>76.7067727572</v>
      </c>
      <c r="O417">
        <v>-3.6641233639763202</v>
      </c>
      <c r="P417">
        <v>-6.4009099999999997</v>
      </c>
      <c r="Q417">
        <v>-9.4817599999999995</v>
      </c>
      <c r="R417">
        <v>-168340550</v>
      </c>
      <c r="S417">
        <v>99.794799999999995</v>
      </c>
      <c r="T417">
        <v>1459951000</v>
      </c>
    </row>
    <row r="418" spans="1:20" x14ac:dyDescent="0.2">
      <c r="A418" t="s">
        <v>119</v>
      </c>
      <c r="B418" t="s">
        <v>43</v>
      </c>
      <c r="C418">
        <v>2024</v>
      </c>
      <c r="D418">
        <v>5422031000</v>
      </c>
      <c r="E418">
        <v>-578417000</v>
      </c>
      <c r="F418">
        <v>475071000</v>
      </c>
      <c r="G418">
        <v>925923000</v>
      </c>
      <c r="H418">
        <v>976596000</v>
      </c>
      <c r="I418">
        <v>-2.0723403567115999</v>
      </c>
      <c r="J418">
        <v>2825581849.8000002</v>
      </c>
      <c r="K418">
        <v>-302810000</v>
      </c>
      <c r="L418">
        <v>3.6981654248626699</v>
      </c>
      <c r="M418">
        <v>3.1701652256052499</v>
      </c>
      <c r="N418">
        <v>77.262917298337996</v>
      </c>
      <c r="O418">
        <v>44.608050751794799</v>
      </c>
      <c r="P418">
        <v>0.13313</v>
      </c>
      <c r="Q418">
        <v>-2.7717399999999999</v>
      </c>
      <c r="R418">
        <v>93058860</v>
      </c>
      <c r="S418">
        <v>99.951099999999997</v>
      </c>
      <c r="T418">
        <v>1453187000</v>
      </c>
    </row>
    <row r="419" spans="1:20" x14ac:dyDescent="0.2">
      <c r="A419" t="s">
        <v>119</v>
      </c>
      <c r="B419" t="s">
        <v>43</v>
      </c>
      <c r="C419">
        <v>2025</v>
      </c>
      <c r="D419">
        <v>5631150000</v>
      </c>
      <c r="E419">
        <v>-1014259920</v>
      </c>
      <c r="F419">
        <v>500562000</v>
      </c>
      <c r="G419">
        <v>1151438000</v>
      </c>
      <c r="H419">
        <v>990652000</v>
      </c>
      <c r="I419">
        <v>-1.86151079862181</v>
      </c>
      <c r="J419">
        <v>5939633143.6800003</v>
      </c>
      <c r="K419">
        <v>8782000</v>
      </c>
      <c r="L419">
        <v>11.1175600346015</v>
      </c>
      <c r="M419">
        <v>-1.09871469437326</v>
      </c>
      <c r="N419">
        <v>78.9834721712391</v>
      </c>
      <c r="O419">
        <v>9.4372008039466504</v>
      </c>
      <c r="P419">
        <v>4.7281300000000002</v>
      </c>
      <c r="Q419">
        <v>2.2483300000000002</v>
      </c>
      <c r="R419">
        <v>404305130</v>
      </c>
      <c r="S419">
        <v>100</v>
      </c>
      <c r="T419">
        <v>1497179000</v>
      </c>
    </row>
    <row r="420" spans="1:20" x14ac:dyDescent="0.2">
      <c r="A420" t="s">
        <v>115</v>
      </c>
      <c r="B420" t="s">
        <v>44</v>
      </c>
      <c r="C420">
        <v>2004</v>
      </c>
      <c r="D420">
        <v>1022394.62312387</v>
      </c>
      <c r="E420" t="s">
        <v>18</v>
      </c>
      <c r="F420" t="s">
        <v>18</v>
      </c>
      <c r="G420">
        <v>509410.32492165599</v>
      </c>
      <c r="H420">
        <v>828566.13887514395</v>
      </c>
      <c r="I420" t="s">
        <v>18</v>
      </c>
      <c r="J420">
        <v>7734268.4629079001</v>
      </c>
      <c r="K420">
        <v>-847242.67063307099</v>
      </c>
      <c r="L420" t="s">
        <v>18</v>
      </c>
      <c r="M420" t="s">
        <v>18</v>
      </c>
      <c r="N420" t="s">
        <v>18</v>
      </c>
      <c r="O420" t="s">
        <v>18</v>
      </c>
      <c r="P420">
        <v>-17391.891889999999</v>
      </c>
      <c r="Q420">
        <v>-18721.621620000002</v>
      </c>
      <c r="R420" t="s">
        <v>18</v>
      </c>
      <c r="S420" t="s">
        <v>18</v>
      </c>
      <c r="T420">
        <v>828566.13887514395</v>
      </c>
    </row>
    <row r="421" spans="1:20" x14ac:dyDescent="0.2">
      <c r="A421" t="s">
        <v>115</v>
      </c>
      <c r="B421" t="s">
        <v>44</v>
      </c>
      <c r="C421">
        <v>2005</v>
      </c>
      <c r="D421">
        <v>1996027.5691244199</v>
      </c>
      <c r="E421" t="s">
        <v>18</v>
      </c>
      <c r="F421" t="s">
        <v>18</v>
      </c>
      <c r="G421">
        <v>1389680.9348255401</v>
      </c>
      <c r="H421">
        <v>1544332.70901909</v>
      </c>
      <c r="I421" t="s">
        <v>18</v>
      </c>
      <c r="J421">
        <v>41529488.9539425</v>
      </c>
      <c r="K421">
        <v>-1250119.0271578101</v>
      </c>
      <c r="L421" t="s">
        <v>18</v>
      </c>
      <c r="M421" t="s">
        <v>18</v>
      </c>
      <c r="N421" t="s">
        <v>18</v>
      </c>
      <c r="O421" t="s">
        <v>18</v>
      </c>
      <c r="P421">
        <v>-18345.454549999999</v>
      </c>
      <c r="Q421">
        <v>-19423.63636</v>
      </c>
      <c r="R421">
        <v>-2829530.8270676699</v>
      </c>
      <c r="S421" t="s">
        <v>18</v>
      </c>
      <c r="T421">
        <v>1544332.70901909</v>
      </c>
    </row>
    <row r="422" spans="1:20" x14ac:dyDescent="0.2">
      <c r="A422" t="s">
        <v>115</v>
      </c>
      <c r="B422" t="s">
        <v>44</v>
      </c>
      <c r="C422">
        <v>2006</v>
      </c>
      <c r="D422">
        <v>2249275.86713131</v>
      </c>
      <c r="E422" t="s">
        <v>18</v>
      </c>
      <c r="F422">
        <v>0</v>
      </c>
      <c r="G422">
        <v>1681790.5420034099</v>
      </c>
      <c r="H422">
        <v>1705336.6115518601</v>
      </c>
      <c r="I422" t="s">
        <v>18</v>
      </c>
      <c r="J422">
        <v>34401924.8623638</v>
      </c>
      <c r="K422">
        <v>-3034481.8554330799</v>
      </c>
      <c r="L422" t="s">
        <v>18</v>
      </c>
      <c r="M422" t="s">
        <v>18</v>
      </c>
      <c r="N422" t="s">
        <v>18</v>
      </c>
      <c r="O422" t="s">
        <v>18</v>
      </c>
      <c r="P422">
        <v>-22876.190480000001</v>
      </c>
      <c r="Q422">
        <v>-23380.952379999999</v>
      </c>
      <c r="R422">
        <v>-2428803.0637614499</v>
      </c>
      <c r="S422" t="s">
        <v>18</v>
      </c>
      <c r="T422">
        <v>1705336.6115518601</v>
      </c>
    </row>
    <row r="423" spans="1:20" x14ac:dyDescent="0.2">
      <c r="A423" t="s">
        <v>115</v>
      </c>
      <c r="B423" t="s">
        <v>44</v>
      </c>
      <c r="C423">
        <v>2007</v>
      </c>
      <c r="D423">
        <v>4121947.5388268498</v>
      </c>
      <c r="E423">
        <v>-2771010.0028045201</v>
      </c>
      <c r="F423">
        <v>461776.79052753199</v>
      </c>
      <c r="G423">
        <v>3108664.8183801798</v>
      </c>
      <c r="H423">
        <v>2950483.7745475601</v>
      </c>
      <c r="I423" t="s">
        <v>18</v>
      </c>
      <c r="J423">
        <v>27358754.0618672</v>
      </c>
      <c r="K423">
        <v>-2823765.32559834</v>
      </c>
      <c r="L423" t="s">
        <v>18</v>
      </c>
      <c r="M423" t="s">
        <v>18</v>
      </c>
      <c r="N423" t="s">
        <v>18</v>
      </c>
      <c r="O423" t="s">
        <v>18</v>
      </c>
      <c r="P423">
        <v>-37250</v>
      </c>
      <c r="Q423">
        <v>-38096.666669999999</v>
      </c>
      <c r="R423">
        <v>-3835925.74647887</v>
      </c>
      <c r="S423" t="s">
        <v>18</v>
      </c>
      <c r="T423">
        <v>3412260.5650750902</v>
      </c>
    </row>
    <row r="424" spans="1:20" x14ac:dyDescent="0.2">
      <c r="A424" t="s">
        <v>115</v>
      </c>
      <c r="B424" t="s">
        <v>44</v>
      </c>
      <c r="C424">
        <v>2008</v>
      </c>
      <c r="D424">
        <v>3802029.5968498699</v>
      </c>
      <c r="E424">
        <v>-3687731.8916102098</v>
      </c>
      <c r="F424">
        <v>239132.46361344701</v>
      </c>
      <c r="G424">
        <v>2480368.6864040298</v>
      </c>
      <c r="H424">
        <v>2655429.7937328699</v>
      </c>
      <c r="I424" t="s">
        <v>18</v>
      </c>
      <c r="J424">
        <v>15154803.2488387</v>
      </c>
      <c r="K424">
        <v>-3512416.8058832302</v>
      </c>
      <c r="L424" t="s">
        <v>18</v>
      </c>
      <c r="M424">
        <v>-4.7067537569120601</v>
      </c>
      <c r="N424" t="s">
        <v>18</v>
      </c>
      <c r="O424" t="s">
        <v>18</v>
      </c>
      <c r="P424">
        <v>-49078.571430000004</v>
      </c>
      <c r="Q424">
        <v>-50448.214290000004</v>
      </c>
      <c r="R424">
        <v>-3800569.3069306901</v>
      </c>
      <c r="S424" t="s">
        <v>18</v>
      </c>
      <c r="T424">
        <v>2894562.2573463102</v>
      </c>
    </row>
    <row r="425" spans="1:20" x14ac:dyDescent="0.2">
      <c r="A425" t="s">
        <v>115</v>
      </c>
      <c r="B425" t="s">
        <v>44</v>
      </c>
      <c r="C425">
        <v>2009</v>
      </c>
      <c r="D425">
        <v>4006740.9874303499</v>
      </c>
      <c r="E425">
        <v>-1242448.8626186601</v>
      </c>
      <c r="F425">
        <v>157908.733963976</v>
      </c>
      <c r="G425">
        <v>2879851.5226124101</v>
      </c>
      <c r="H425">
        <v>2926616.4053388601</v>
      </c>
      <c r="I425" t="s">
        <v>18</v>
      </c>
      <c r="J425">
        <v>17223697.510611199</v>
      </c>
      <c r="K425">
        <v>-4213146.70012521</v>
      </c>
      <c r="L425" t="s">
        <v>18</v>
      </c>
      <c r="M425">
        <v>30.969420766577301</v>
      </c>
      <c r="N425" t="s">
        <v>18</v>
      </c>
      <c r="O425" t="s">
        <v>18</v>
      </c>
      <c r="P425" t="s">
        <v>18</v>
      </c>
      <c r="Q425" t="s">
        <v>18</v>
      </c>
      <c r="R425">
        <v>-4479983.8796346001</v>
      </c>
      <c r="S425" t="s">
        <v>18</v>
      </c>
      <c r="T425">
        <v>3084525.13930284</v>
      </c>
    </row>
    <row r="426" spans="1:20" x14ac:dyDescent="0.2">
      <c r="A426" t="s">
        <v>115</v>
      </c>
      <c r="B426" t="s">
        <v>44</v>
      </c>
      <c r="C426">
        <v>2010</v>
      </c>
      <c r="D426">
        <v>5604657.9442330897</v>
      </c>
      <c r="E426">
        <v>-7135729.9670691499</v>
      </c>
      <c r="F426">
        <v>749271.87766078603</v>
      </c>
      <c r="G426">
        <v>4268714.5107536204</v>
      </c>
      <c r="H426">
        <v>3541541.8555252501</v>
      </c>
      <c r="I426" t="s">
        <v>18</v>
      </c>
      <c r="J426">
        <v>27230333.4821667</v>
      </c>
      <c r="K426">
        <v>-4511074.5898710703</v>
      </c>
      <c r="L426" t="s">
        <v>18</v>
      </c>
      <c r="M426">
        <v>29.8285500234891</v>
      </c>
      <c r="N426" t="s">
        <v>18</v>
      </c>
      <c r="O426" t="s">
        <v>18</v>
      </c>
      <c r="P426">
        <v>-28705.682000000001</v>
      </c>
      <c r="Q426">
        <v>-29443.48789</v>
      </c>
      <c r="R426">
        <v>-5110794.4845699295</v>
      </c>
      <c r="S426" t="s">
        <v>18</v>
      </c>
      <c r="T426">
        <v>4290813.7331860401</v>
      </c>
    </row>
    <row r="427" spans="1:20" x14ac:dyDescent="0.2">
      <c r="A427" t="s">
        <v>115</v>
      </c>
      <c r="B427" t="s">
        <v>44</v>
      </c>
      <c r="C427">
        <v>2011</v>
      </c>
      <c r="D427">
        <v>14342929.6196623</v>
      </c>
      <c r="E427">
        <v>-7735996.8653731802</v>
      </c>
      <c r="F427">
        <v>665785.48284894705</v>
      </c>
      <c r="G427">
        <v>12691336.939219801</v>
      </c>
      <c r="H427">
        <v>11504657.876756299</v>
      </c>
      <c r="I427" t="s">
        <v>18</v>
      </c>
      <c r="J427">
        <v>22333280.867142599</v>
      </c>
      <c r="K427">
        <v>-5226864.6238127304</v>
      </c>
      <c r="L427" t="s">
        <v>18</v>
      </c>
      <c r="M427">
        <v>80.873649735669005</v>
      </c>
      <c r="N427" t="s">
        <v>18</v>
      </c>
      <c r="O427" t="s">
        <v>18</v>
      </c>
      <c r="P427">
        <v>-3752.1588299999999</v>
      </c>
      <c r="Q427">
        <v>-3836.5674600000002</v>
      </c>
      <c r="R427">
        <v>-4225544.5062962798</v>
      </c>
      <c r="S427" t="s">
        <v>18</v>
      </c>
      <c r="T427">
        <v>12170443.359605299</v>
      </c>
    </row>
    <row r="428" spans="1:20" x14ac:dyDescent="0.2">
      <c r="A428" t="s">
        <v>115</v>
      </c>
      <c r="B428" t="s">
        <v>44</v>
      </c>
      <c r="C428">
        <v>2012</v>
      </c>
      <c r="D428">
        <v>8867282.77030419</v>
      </c>
      <c r="E428">
        <v>-2479114.6178822098</v>
      </c>
      <c r="F428">
        <v>215423.528009236</v>
      </c>
      <c r="G428">
        <v>7607718.7154904101</v>
      </c>
      <c r="H428">
        <v>7105754.1198172905</v>
      </c>
      <c r="I428" t="s">
        <v>18</v>
      </c>
      <c r="J428">
        <v>3897393.2325146198</v>
      </c>
      <c r="K428">
        <v>-4460386.39919848</v>
      </c>
      <c r="L428" t="s">
        <v>18</v>
      </c>
      <c r="M428">
        <v>-34.8479832801602</v>
      </c>
      <c r="N428" t="s">
        <v>18</v>
      </c>
      <c r="O428" t="s">
        <v>18</v>
      </c>
      <c r="P428">
        <v>-1165.04566</v>
      </c>
      <c r="Q428">
        <v>-1196.0950600000001</v>
      </c>
      <c r="R428">
        <v>-5132349.1542762397</v>
      </c>
      <c r="S428" t="s">
        <v>18</v>
      </c>
      <c r="T428">
        <v>7321177.6478265198</v>
      </c>
    </row>
    <row r="429" spans="1:20" x14ac:dyDescent="0.2">
      <c r="A429" t="s">
        <v>115</v>
      </c>
      <c r="B429" t="s">
        <v>44</v>
      </c>
      <c r="C429">
        <v>2013</v>
      </c>
      <c r="D429">
        <v>3616707.5894301599</v>
      </c>
      <c r="E429" t="s">
        <v>18</v>
      </c>
      <c r="F429">
        <v>0</v>
      </c>
      <c r="G429">
        <v>2513139.0113248201</v>
      </c>
      <c r="H429">
        <v>2241197.9147941801</v>
      </c>
      <c r="I429" t="s">
        <v>18</v>
      </c>
      <c r="J429">
        <v>2667534.82857029</v>
      </c>
      <c r="K429">
        <v>-5473923.7774970401</v>
      </c>
      <c r="L429" t="s">
        <v>18</v>
      </c>
      <c r="M429">
        <v>-26.682701726668899</v>
      </c>
      <c r="N429" t="s">
        <v>18</v>
      </c>
      <c r="O429" t="s">
        <v>18</v>
      </c>
      <c r="P429">
        <v>-31582.714319999999</v>
      </c>
      <c r="Q429">
        <v>-32290.81884</v>
      </c>
      <c r="R429" t="s">
        <v>18</v>
      </c>
      <c r="S429" t="s">
        <v>18</v>
      </c>
      <c r="T429">
        <v>2241197.9147941801</v>
      </c>
    </row>
    <row r="430" spans="1:20" x14ac:dyDescent="0.2">
      <c r="A430" t="s">
        <v>115</v>
      </c>
      <c r="B430" t="s">
        <v>44</v>
      </c>
      <c r="C430">
        <v>2014</v>
      </c>
      <c r="D430">
        <v>1825874.62339152</v>
      </c>
      <c r="E430">
        <v>-9734646.5282792691</v>
      </c>
      <c r="F430" t="s">
        <v>18</v>
      </c>
      <c r="G430">
        <v>1378277.8346998999</v>
      </c>
      <c r="H430">
        <v>1040422.25709576</v>
      </c>
      <c r="I430">
        <v>40</v>
      </c>
      <c r="J430">
        <v>57694300.709075898</v>
      </c>
      <c r="K430">
        <v>-4699654.2786705401</v>
      </c>
      <c r="L430">
        <v>483.33333333333002</v>
      </c>
      <c r="M430" t="s">
        <v>18</v>
      </c>
      <c r="N430" t="s">
        <v>18</v>
      </c>
      <c r="O430" t="s">
        <v>18</v>
      </c>
      <c r="P430">
        <v>-22161.29221</v>
      </c>
      <c r="Q430">
        <v>-22627.13075</v>
      </c>
      <c r="R430">
        <v>-243366.16320698199</v>
      </c>
      <c r="S430" t="s">
        <v>18</v>
      </c>
      <c r="T430">
        <v>1040422.25709576</v>
      </c>
    </row>
    <row r="431" spans="1:20" x14ac:dyDescent="0.2">
      <c r="A431" t="s">
        <v>115</v>
      </c>
      <c r="B431" t="s">
        <v>44</v>
      </c>
      <c r="C431">
        <v>2015</v>
      </c>
      <c r="D431">
        <v>26461120.820817702</v>
      </c>
      <c r="E431">
        <v>22787002.272502702</v>
      </c>
      <c r="F431">
        <v>838353.20444325497</v>
      </c>
      <c r="G431">
        <v>10897060.828526501</v>
      </c>
      <c r="H431">
        <v>21677103.220483098</v>
      </c>
      <c r="I431">
        <v>-52.5</v>
      </c>
      <c r="J431">
        <v>159162294.32889101</v>
      </c>
      <c r="K431">
        <v>-779752.44220772095</v>
      </c>
      <c r="L431">
        <v>135.13513513513601</v>
      </c>
      <c r="M431" t="s">
        <v>18</v>
      </c>
      <c r="N431" t="s">
        <v>18</v>
      </c>
      <c r="O431">
        <v>134.759724400359</v>
      </c>
      <c r="P431">
        <v>-108.33620999999999</v>
      </c>
      <c r="Q431">
        <v>-108.33620999999999</v>
      </c>
      <c r="R431">
        <v>-1736152.5540954501</v>
      </c>
      <c r="S431" t="s">
        <v>18</v>
      </c>
      <c r="T431">
        <v>22515456.4249264</v>
      </c>
    </row>
    <row r="432" spans="1:20" x14ac:dyDescent="0.2">
      <c r="A432" t="s">
        <v>115</v>
      </c>
      <c r="B432" t="s">
        <v>44</v>
      </c>
      <c r="C432">
        <v>2016</v>
      </c>
      <c r="D432">
        <v>84963184.845707998</v>
      </c>
      <c r="E432" t="s">
        <v>18</v>
      </c>
      <c r="F432">
        <v>1525062.73445327</v>
      </c>
      <c r="G432">
        <v>32608502.301219501</v>
      </c>
      <c r="H432">
        <v>76146504.512170002</v>
      </c>
      <c r="I432" t="s">
        <v>18</v>
      </c>
      <c r="J432">
        <v>142052716.548715</v>
      </c>
      <c r="K432">
        <v>-2433196.46632447</v>
      </c>
      <c r="L432" t="s">
        <v>18</v>
      </c>
      <c r="M432">
        <v>-18.612331468826099</v>
      </c>
      <c r="N432" t="s">
        <v>18</v>
      </c>
      <c r="O432" t="s">
        <v>18</v>
      </c>
      <c r="P432">
        <v>12.82695</v>
      </c>
      <c r="Q432">
        <v>-2.6968700000000001</v>
      </c>
      <c r="R432" t="s">
        <v>18</v>
      </c>
      <c r="S432" t="s">
        <v>18</v>
      </c>
      <c r="T432">
        <v>77671567.246623203</v>
      </c>
    </row>
    <row r="433" spans="1:20" x14ac:dyDescent="0.2">
      <c r="A433" t="s">
        <v>115</v>
      </c>
      <c r="B433" t="s">
        <v>44</v>
      </c>
      <c r="C433">
        <v>2017</v>
      </c>
      <c r="D433">
        <v>84016011.790853307</v>
      </c>
      <c r="E433" t="s">
        <v>18</v>
      </c>
      <c r="F433">
        <v>1382169.70040523</v>
      </c>
      <c r="G433">
        <v>24830839.769364402</v>
      </c>
      <c r="H433">
        <v>73921938.623596206</v>
      </c>
      <c r="I433" t="s">
        <v>18</v>
      </c>
      <c r="J433">
        <v>299443278.55540001</v>
      </c>
      <c r="K433">
        <v>-6013292.5969977304</v>
      </c>
      <c r="L433" t="s">
        <v>18</v>
      </c>
      <c r="M433">
        <v>214.40799735722501</v>
      </c>
      <c r="N433" t="s">
        <v>18</v>
      </c>
      <c r="O433" t="s">
        <v>18</v>
      </c>
      <c r="P433">
        <v>-30.90521</v>
      </c>
      <c r="Q433">
        <v>-39.406739999999999</v>
      </c>
      <c r="R433" t="s">
        <v>18</v>
      </c>
      <c r="S433">
        <v>100</v>
      </c>
      <c r="T433">
        <v>75304108.324001402</v>
      </c>
    </row>
    <row r="434" spans="1:20" x14ac:dyDescent="0.2">
      <c r="A434" t="s">
        <v>115</v>
      </c>
      <c r="B434" t="s">
        <v>44</v>
      </c>
      <c r="C434">
        <v>2018</v>
      </c>
      <c r="D434">
        <v>179258450.22907299</v>
      </c>
      <c r="E434">
        <v>-35918409.828798696</v>
      </c>
      <c r="F434">
        <v>7444288.6438406203</v>
      </c>
      <c r="G434">
        <v>29308191.8155233</v>
      </c>
      <c r="H434">
        <v>143155732.55391699</v>
      </c>
      <c r="I434">
        <v>5.7160851151661198</v>
      </c>
      <c r="J434">
        <v>490127810.98701</v>
      </c>
      <c r="K434">
        <v>-5625675.0496196002</v>
      </c>
      <c r="L434">
        <v>33.500191240060801</v>
      </c>
      <c r="M434">
        <v>246.95739981902801</v>
      </c>
      <c r="N434" t="s">
        <v>18</v>
      </c>
      <c r="O434">
        <v>-59.562947230082301</v>
      </c>
      <c r="P434">
        <v>-18.035540000000001</v>
      </c>
      <c r="Q434">
        <v>-31.19218</v>
      </c>
      <c r="R434">
        <v>-16674531.8621285</v>
      </c>
      <c r="S434">
        <v>100</v>
      </c>
      <c r="T434">
        <v>150600021.19775799</v>
      </c>
    </row>
    <row r="435" spans="1:20" x14ac:dyDescent="0.2">
      <c r="A435" t="s">
        <v>115</v>
      </c>
      <c r="B435" t="s">
        <v>44</v>
      </c>
      <c r="C435">
        <v>2019</v>
      </c>
      <c r="D435">
        <v>196251996.24017501</v>
      </c>
      <c r="E435">
        <v>-46691999.104806699</v>
      </c>
      <c r="F435">
        <v>3316519.7633903301</v>
      </c>
      <c r="G435">
        <v>35081086.070820801</v>
      </c>
      <c r="H435">
        <v>159369175.65837499</v>
      </c>
      <c r="I435">
        <v>2.83163295581915</v>
      </c>
      <c r="J435">
        <v>879830692.14930105</v>
      </c>
      <c r="K435">
        <v>-19669281.6750191</v>
      </c>
      <c r="L435">
        <v>50.726823318804499</v>
      </c>
      <c r="M435" t="s">
        <v>18</v>
      </c>
      <c r="N435">
        <v>20.625874923288698</v>
      </c>
      <c r="O435">
        <v>-2.0388089107492999</v>
      </c>
      <c r="P435">
        <v>-13.7248</v>
      </c>
      <c r="Q435">
        <v>-26.907530000000001</v>
      </c>
      <c r="R435">
        <v>-23412276.177021399</v>
      </c>
      <c r="S435">
        <v>100</v>
      </c>
      <c r="T435">
        <v>162685695.421765</v>
      </c>
    </row>
    <row r="436" spans="1:20" x14ac:dyDescent="0.2">
      <c r="A436" t="s">
        <v>115</v>
      </c>
      <c r="B436" t="s">
        <v>44</v>
      </c>
      <c r="C436">
        <v>2020</v>
      </c>
      <c r="D436">
        <v>247004711.152374</v>
      </c>
      <c r="E436">
        <v>-209436229.70263401</v>
      </c>
      <c r="F436">
        <v>12373643.6981682</v>
      </c>
      <c r="G436">
        <v>47757484.475530803</v>
      </c>
      <c r="H436">
        <v>187653109.11783499</v>
      </c>
      <c r="I436">
        <v>11.602686004851501</v>
      </c>
      <c r="J436">
        <v>2977261386.5664902</v>
      </c>
      <c r="K436">
        <v>-27404481.964797899</v>
      </c>
      <c r="L436">
        <v>67.295299902494605</v>
      </c>
      <c r="M436" t="s">
        <v>18</v>
      </c>
      <c r="N436">
        <v>25.968191144657499</v>
      </c>
      <c r="O436">
        <v>42.362707287686099</v>
      </c>
      <c r="P436">
        <v>-18.00873</v>
      </c>
      <c r="Q436">
        <v>-31.26098</v>
      </c>
      <c r="R436">
        <v>-31647177.283490401</v>
      </c>
      <c r="S436">
        <v>100</v>
      </c>
      <c r="T436">
        <v>200026752.81600299</v>
      </c>
    </row>
    <row r="437" spans="1:20" x14ac:dyDescent="0.2">
      <c r="A437" t="s">
        <v>115</v>
      </c>
      <c r="B437" t="s">
        <v>44</v>
      </c>
      <c r="C437">
        <v>2021</v>
      </c>
      <c r="D437">
        <v>585775852.45806098</v>
      </c>
      <c r="E437">
        <v>-245551178.43527201</v>
      </c>
      <c r="F437">
        <v>11616824.6307371</v>
      </c>
      <c r="G437">
        <v>222085909.651546</v>
      </c>
      <c r="H437">
        <v>521975907.949498</v>
      </c>
      <c r="I437">
        <v>6.3822926011268599</v>
      </c>
      <c r="J437">
        <v>2439041743.3331399</v>
      </c>
      <c r="K437">
        <v>117888108.29748601</v>
      </c>
      <c r="L437">
        <v>44.710145665037302</v>
      </c>
      <c r="M437">
        <v>231.42245349547801</v>
      </c>
      <c r="N437">
        <v>30.544963970643</v>
      </c>
      <c r="O437">
        <v>76.619459403458904</v>
      </c>
      <c r="P437">
        <v>-23.38739</v>
      </c>
      <c r="Q437">
        <v>-39.171900000000001</v>
      </c>
      <c r="R437">
        <v>-49749394.445062503</v>
      </c>
      <c r="S437">
        <v>100</v>
      </c>
      <c r="T437">
        <v>533592732.580235</v>
      </c>
    </row>
    <row r="438" spans="1:20" x14ac:dyDescent="0.2">
      <c r="A438" t="s">
        <v>115</v>
      </c>
      <c r="B438" t="s">
        <v>44</v>
      </c>
      <c r="C438">
        <v>2022</v>
      </c>
      <c r="D438">
        <v>600009486.57726502</v>
      </c>
      <c r="E438">
        <v>-304897056.97026598</v>
      </c>
      <c r="F438">
        <v>15643238.888573499</v>
      </c>
      <c r="G438">
        <v>271115812.71758997</v>
      </c>
      <c r="H438">
        <v>503292534.16603303</v>
      </c>
      <c r="I438">
        <v>4.3479128497962902</v>
      </c>
      <c r="J438">
        <v>2113890782.75159</v>
      </c>
      <c r="K438">
        <v>-164091017.353686</v>
      </c>
      <c r="L438">
        <v>79.080642188512101</v>
      </c>
      <c r="M438">
        <v>53.327139550861503</v>
      </c>
      <c r="N438">
        <v>43.134643953611402</v>
      </c>
      <c r="O438">
        <v>-18.192190392010001</v>
      </c>
      <c r="P438">
        <v>-49.41216</v>
      </c>
      <c r="Q438">
        <v>-63.104439999999997</v>
      </c>
      <c r="R438">
        <v>-85173441.055294499</v>
      </c>
      <c r="S438">
        <v>100</v>
      </c>
      <c r="T438">
        <v>518935773.05460602</v>
      </c>
    </row>
    <row r="439" spans="1:20" x14ac:dyDescent="0.2">
      <c r="A439" t="s">
        <v>115</v>
      </c>
      <c r="B439" t="s">
        <v>44</v>
      </c>
      <c r="C439">
        <v>2023</v>
      </c>
      <c r="D439">
        <v>662946808.83989203</v>
      </c>
      <c r="E439">
        <v>-305172298.43558198</v>
      </c>
      <c r="F439">
        <v>21274351.2887256</v>
      </c>
      <c r="G439">
        <v>298137934.48680699</v>
      </c>
      <c r="H439">
        <v>519789079.283418</v>
      </c>
      <c r="I439">
        <v>7.01723378268695</v>
      </c>
      <c r="J439">
        <v>1057262761.6058199</v>
      </c>
      <c r="K439">
        <v>-116119023.511712</v>
      </c>
      <c r="L439">
        <v>33.152851827762497</v>
      </c>
      <c r="M439">
        <v>31.128037764665599</v>
      </c>
      <c r="N439">
        <v>41.415971880380297</v>
      </c>
      <c r="O439">
        <v>79.271853471685304</v>
      </c>
      <c r="P439">
        <v>-85.245720000000006</v>
      </c>
      <c r="Q439">
        <v>-103.99003999999999</v>
      </c>
      <c r="R439">
        <v>-63582030.991848603</v>
      </c>
      <c r="S439">
        <v>100</v>
      </c>
      <c r="T439">
        <v>541063430.57214296</v>
      </c>
    </row>
    <row r="440" spans="1:20" x14ac:dyDescent="0.2">
      <c r="A440" t="s">
        <v>115</v>
      </c>
      <c r="B440" t="s">
        <v>44</v>
      </c>
      <c r="C440">
        <v>2024</v>
      </c>
      <c r="D440">
        <v>702457946.40408099</v>
      </c>
      <c r="E440">
        <v>-166124666.84657601</v>
      </c>
      <c r="F440">
        <v>23215027.175854199</v>
      </c>
      <c r="G440">
        <v>299310784.53986597</v>
      </c>
      <c r="H440">
        <v>554109433.71846402</v>
      </c>
      <c r="I440">
        <v>6.6761654678507298</v>
      </c>
      <c r="J440">
        <v>434628447.92488801</v>
      </c>
      <c r="K440">
        <v>-49669879.573824301</v>
      </c>
      <c r="L440">
        <v>7.0482982844765401</v>
      </c>
      <c r="M440">
        <v>50.913536084558601</v>
      </c>
      <c r="N440">
        <v>45.847395249497303</v>
      </c>
      <c r="O440">
        <v>-16.5993841854416</v>
      </c>
      <c r="P440">
        <v>-16.171330000000001</v>
      </c>
      <c r="Q440">
        <v>-32.752659999999999</v>
      </c>
      <c r="R440">
        <v>-41036454.979306802</v>
      </c>
      <c r="S440">
        <v>100</v>
      </c>
      <c r="T440">
        <v>577324460.89431798</v>
      </c>
    </row>
    <row r="441" spans="1:20" x14ac:dyDescent="0.2">
      <c r="A441" t="s">
        <v>115</v>
      </c>
      <c r="B441" t="s">
        <v>44</v>
      </c>
      <c r="C441">
        <v>2025</v>
      </c>
      <c r="D441">
        <v>535755683.39829499</v>
      </c>
      <c r="E441">
        <v>-130315965.62385</v>
      </c>
      <c r="F441">
        <v>22095949.373993699</v>
      </c>
      <c r="G441">
        <v>157762760.17315301</v>
      </c>
      <c r="H441">
        <v>422987663.61948699</v>
      </c>
      <c r="I441">
        <v>4.5691633404461696</v>
      </c>
      <c r="J441">
        <v>366521997.54687601</v>
      </c>
      <c r="K441">
        <v>-22178118.192884699</v>
      </c>
      <c r="L441">
        <v>-5.7168167665461196</v>
      </c>
      <c r="M441">
        <v>41.752998257857797</v>
      </c>
      <c r="N441">
        <v>45.840471330386201</v>
      </c>
      <c r="O441">
        <v>-61.036776272333398</v>
      </c>
      <c r="P441">
        <v>-12.442690000000001</v>
      </c>
      <c r="Q441">
        <v>-28.018239999999999</v>
      </c>
      <c r="R441">
        <v>-51842214.747804902</v>
      </c>
      <c r="S441">
        <v>0</v>
      </c>
      <c r="T441">
        <v>445083612.99348003</v>
      </c>
    </row>
    <row r="442" spans="1:20" x14ac:dyDescent="0.2">
      <c r="A442" t="s">
        <v>117</v>
      </c>
      <c r="B442" t="s">
        <v>45</v>
      </c>
      <c r="C442">
        <v>2004</v>
      </c>
      <c r="D442">
        <v>3723000000</v>
      </c>
      <c r="E442" t="s">
        <v>18</v>
      </c>
      <c r="F442">
        <v>83000000</v>
      </c>
      <c r="G442">
        <v>47000000</v>
      </c>
      <c r="H442">
        <v>1375000000</v>
      </c>
      <c r="I442" t="s">
        <v>18</v>
      </c>
      <c r="J442" t="s">
        <v>18</v>
      </c>
      <c r="K442">
        <v>284000000</v>
      </c>
      <c r="L442" t="s">
        <v>18</v>
      </c>
      <c r="M442" t="s">
        <v>18</v>
      </c>
      <c r="N442" t="s">
        <v>18</v>
      </c>
      <c r="O442" t="s">
        <v>18</v>
      </c>
      <c r="P442">
        <v>7.02067</v>
      </c>
      <c r="Q442">
        <v>5.1731199999999999</v>
      </c>
      <c r="R442" t="s">
        <v>18</v>
      </c>
      <c r="S442" t="s">
        <v>18</v>
      </c>
      <c r="T442">
        <v>1461000000</v>
      </c>
    </row>
    <row r="443" spans="1:20" x14ac:dyDescent="0.2">
      <c r="A443" t="s">
        <v>117</v>
      </c>
      <c r="B443" t="s">
        <v>45</v>
      </c>
      <c r="C443">
        <v>2005</v>
      </c>
      <c r="D443" t="s">
        <v>18</v>
      </c>
      <c r="E443">
        <v>871651200</v>
      </c>
      <c r="F443" t="s">
        <v>18</v>
      </c>
      <c r="G443" t="s">
        <v>18</v>
      </c>
      <c r="H443" t="s">
        <v>18</v>
      </c>
      <c r="I443" t="s">
        <v>18</v>
      </c>
      <c r="J443">
        <v>6358804746.3041601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>
        <v>674717330</v>
      </c>
      <c r="S443" t="s">
        <v>18</v>
      </c>
      <c r="T443" t="s">
        <v>18</v>
      </c>
    </row>
    <row r="444" spans="1:20" x14ac:dyDescent="0.2">
      <c r="A444" t="s">
        <v>117</v>
      </c>
      <c r="B444" t="s">
        <v>45</v>
      </c>
      <c r="C444">
        <v>2006</v>
      </c>
      <c r="D444">
        <v>3829000000</v>
      </c>
      <c r="E444">
        <v>739841810</v>
      </c>
      <c r="F444">
        <v>781000000</v>
      </c>
      <c r="G444">
        <v>79000000</v>
      </c>
      <c r="H444">
        <v>1605000000</v>
      </c>
      <c r="I444" t="s">
        <v>18</v>
      </c>
      <c r="J444">
        <v>6197271193.3352203</v>
      </c>
      <c r="K444">
        <v>670000000</v>
      </c>
      <c r="L444" t="s">
        <v>18</v>
      </c>
      <c r="M444" t="s">
        <v>18</v>
      </c>
      <c r="N444">
        <v>21.8143306705398</v>
      </c>
      <c r="O444" t="s">
        <v>18</v>
      </c>
      <c r="P444">
        <v>9.4646100000000004</v>
      </c>
      <c r="Q444">
        <v>7.9306200000000002</v>
      </c>
      <c r="R444">
        <v>757965890</v>
      </c>
      <c r="S444" t="s">
        <v>18</v>
      </c>
      <c r="T444">
        <v>2393000000</v>
      </c>
    </row>
    <row r="445" spans="1:20" x14ac:dyDescent="0.2">
      <c r="A445" t="s">
        <v>117</v>
      </c>
      <c r="B445" t="s">
        <v>45</v>
      </c>
      <c r="C445">
        <v>2007</v>
      </c>
      <c r="D445">
        <v>4340000000</v>
      </c>
      <c r="E445">
        <v>644072210</v>
      </c>
      <c r="F445">
        <v>783000000</v>
      </c>
      <c r="G445">
        <v>62000000</v>
      </c>
      <c r="H445">
        <v>2089000000</v>
      </c>
      <c r="I445" t="s">
        <v>18</v>
      </c>
      <c r="J445">
        <v>6143426419.2752199</v>
      </c>
      <c r="K445">
        <v>636000000</v>
      </c>
      <c r="L445" t="s">
        <v>18</v>
      </c>
      <c r="M445" t="s">
        <v>18</v>
      </c>
      <c r="N445">
        <v>25.746479546880099</v>
      </c>
      <c r="O445" t="s">
        <v>18</v>
      </c>
      <c r="P445">
        <v>7.6017000000000001</v>
      </c>
      <c r="Q445">
        <v>6.4001900000000003</v>
      </c>
      <c r="R445">
        <v>751213570</v>
      </c>
      <c r="S445" t="s">
        <v>18</v>
      </c>
      <c r="T445">
        <v>2880000000</v>
      </c>
    </row>
    <row r="446" spans="1:20" x14ac:dyDescent="0.2">
      <c r="A446" t="s">
        <v>117</v>
      </c>
      <c r="B446" t="s">
        <v>45</v>
      </c>
      <c r="C446">
        <v>2008</v>
      </c>
      <c r="D446">
        <v>4871000000</v>
      </c>
      <c r="E446">
        <v>1000221920</v>
      </c>
      <c r="F446">
        <v>762000000</v>
      </c>
      <c r="G446">
        <v>52000000</v>
      </c>
      <c r="H446">
        <v>2423000000</v>
      </c>
      <c r="I446" t="s">
        <v>18</v>
      </c>
      <c r="J446">
        <v>2710184396.98314</v>
      </c>
      <c r="K446">
        <v>580000000</v>
      </c>
      <c r="L446" t="s">
        <v>18</v>
      </c>
      <c r="M446">
        <v>5.7959847183002298</v>
      </c>
      <c r="N446">
        <v>59.639981497055999</v>
      </c>
      <c r="O446" t="s">
        <v>18</v>
      </c>
      <c r="P446">
        <v>7.9319199999999999</v>
      </c>
      <c r="Q446">
        <v>6.3207500000000003</v>
      </c>
      <c r="R446">
        <v>647467670</v>
      </c>
      <c r="S446" t="s">
        <v>18</v>
      </c>
      <c r="T446">
        <v>3189000000</v>
      </c>
    </row>
    <row r="447" spans="1:20" x14ac:dyDescent="0.2">
      <c r="A447" t="s">
        <v>117</v>
      </c>
      <c r="B447" t="s">
        <v>45</v>
      </c>
      <c r="C447">
        <v>2009</v>
      </c>
      <c r="D447">
        <v>4720000000</v>
      </c>
      <c r="E447">
        <v>1600987350</v>
      </c>
      <c r="F447">
        <v>1054000000</v>
      </c>
      <c r="G447">
        <v>55000000</v>
      </c>
      <c r="H447">
        <v>2171000000</v>
      </c>
      <c r="I447" t="s">
        <v>18</v>
      </c>
      <c r="J447">
        <v>2997356268.8994498</v>
      </c>
      <c r="K447">
        <v>101000000</v>
      </c>
      <c r="L447" t="s">
        <v>18</v>
      </c>
      <c r="M447">
        <v>19.729454511173898</v>
      </c>
      <c r="N447">
        <v>60.760040246036901</v>
      </c>
      <c r="O447" t="s">
        <v>18</v>
      </c>
      <c r="P447">
        <v>2.7122199999999999</v>
      </c>
      <c r="Q447">
        <v>1.2298100000000001</v>
      </c>
      <c r="R447">
        <v>235519680</v>
      </c>
      <c r="S447">
        <v>0.8276</v>
      </c>
      <c r="T447">
        <v>3233000000</v>
      </c>
    </row>
    <row r="448" spans="1:20" x14ac:dyDescent="0.2">
      <c r="A448" t="s">
        <v>117</v>
      </c>
      <c r="B448" t="s">
        <v>45</v>
      </c>
      <c r="C448">
        <v>2010</v>
      </c>
      <c r="D448">
        <v>5700000000</v>
      </c>
      <c r="E448">
        <v>2301891190</v>
      </c>
      <c r="F448">
        <v>1993000000</v>
      </c>
      <c r="G448">
        <v>117000000</v>
      </c>
      <c r="H448">
        <v>2210000000</v>
      </c>
      <c r="I448" t="s">
        <v>18</v>
      </c>
      <c r="J448">
        <v>2846077837.7557702</v>
      </c>
      <c r="K448">
        <v>225000000</v>
      </c>
      <c r="L448" t="s">
        <v>18</v>
      </c>
      <c r="M448" t="s">
        <v>18</v>
      </c>
      <c r="N448">
        <v>59.080696808570799</v>
      </c>
      <c r="O448" t="s">
        <v>18</v>
      </c>
      <c r="P448">
        <v>5.71814</v>
      </c>
      <c r="Q448">
        <v>3.2897500000000002</v>
      </c>
      <c r="R448">
        <v>215460000</v>
      </c>
      <c r="S448">
        <v>1.2765</v>
      </c>
      <c r="T448">
        <v>4215000000</v>
      </c>
    </row>
    <row r="449" spans="1:20" x14ac:dyDescent="0.2">
      <c r="A449" t="s">
        <v>117</v>
      </c>
      <c r="B449" t="s">
        <v>45</v>
      </c>
      <c r="C449">
        <v>2011</v>
      </c>
      <c r="D449">
        <v>6664000000</v>
      </c>
      <c r="E449">
        <v>2060262220</v>
      </c>
      <c r="F449">
        <v>2156000000</v>
      </c>
      <c r="G449">
        <v>379000000</v>
      </c>
      <c r="H449">
        <v>2414000000</v>
      </c>
      <c r="I449" t="s">
        <v>18</v>
      </c>
      <c r="J449">
        <v>2256349872.7631402</v>
      </c>
      <c r="K449">
        <v>231000000</v>
      </c>
      <c r="L449" t="s">
        <v>18</v>
      </c>
      <c r="M449">
        <v>7.0162100765350104</v>
      </c>
      <c r="N449">
        <v>66.884993921124106</v>
      </c>
      <c r="O449" t="s">
        <v>18</v>
      </c>
      <c r="P449">
        <v>4.7356600000000002</v>
      </c>
      <c r="Q449">
        <v>2.5724499999999999</v>
      </c>
      <c r="R449">
        <v>190133800</v>
      </c>
      <c r="S449">
        <v>1.829</v>
      </c>
      <c r="T449">
        <v>4582000000</v>
      </c>
    </row>
    <row r="450" spans="1:20" x14ac:dyDescent="0.2">
      <c r="A450" t="s">
        <v>117</v>
      </c>
      <c r="B450" t="s">
        <v>45</v>
      </c>
      <c r="C450">
        <v>2012</v>
      </c>
      <c r="D450">
        <v>7274000000</v>
      </c>
      <c r="E450">
        <v>2055337420</v>
      </c>
      <c r="F450">
        <v>2384000000</v>
      </c>
      <c r="G450">
        <v>304000000</v>
      </c>
      <c r="H450">
        <v>2444000000</v>
      </c>
      <c r="I450" t="s">
        <v>18</v>
      </c>
      <c r="J450">
        <v>2519163907.3168302</v>
      </c>
      <c r="K450">
        <v>160000000</v>
      </c>
      <c r="L450" t="s">
        <v>18</v>
      </c>
      <c r="M450">
        <v>-7.0984140768043504</v>
      </c>
      <c r="N450">
        <v>78.661872613233797</v>
      </c>
      <c r="O450" t="s">
        <v>18</v>
      </c>
      <c r="P450">
        <v>3.5668000000000002</v>
      </c>
      <c r="Q450">
        <v>1.52399</v>
      </c>
      <c r="R450">
        <v>373681050</v>
      </c>
      <c r="S450">
        <v>5.3696000000000002</v>
      </c>
      <c r="T450">
        <v>4842000000</v>
      </c>
    </row>
    <row r="451" spans="1:20" x14ac:dyDescent="0.2">
      <c r="A451" t="s">
        <v>117</v>
      </c>
      <c r="B451" t="s">
        <v>45</v>
      </c>
      <c r="C451">
        <v>2013</v>
      </c>
      <c r="D451">
        <v>7398000000</v>
      </c>
      <c r="E451">
        <v>1609013770</v>
      </c>
      <c r="F451">
        <v>2334000000</v>
      </c>
      <c r="G451">
        <v>383000000</v>
      </c>
      <c r="H451">
        <v>2524000000</v>
      </c>
      <c r="I451" t="s">
        <v>18</v>
      </c>
      <c r="J451">
        <v>3605032235.5084</v>
      </c>
      <c r="K451">
        <v>159000000</v>
      </c>
      <c r="L451" t="s">
        <v>18</v>
      </c>
      <c r="M451">
        <v>-2.7187136960735798</v>
      </c>
      <c r="N451">
        <v>69.002835183974099</v>
      </c>
      <c r="O451" t="s">
        <v>18</v>
      </c>
      <c r="P451">
        <v>3.4336000000000002</v>
      </c>
      <c r="Q451">
        <v>1.5739700000000001</v>
      </c>
      <c r="R451">
        <v>578770890</v>
      </c>
      <c r="S451">
        <v>10.956099999999999</v>
      </c>
      <c r="T451">
        <v>4874000000</v>
      </c>
    </row>
    <row r="452" spans="1:20" x14ac:dyDescent="0.2">
      <c r="A452" t="s">
        <v>117</v>
      </c>
      <c r="B452" t="s">
        <v>45</v>
      </c>
      <c r="C452">
        <v>2014</v>
      </c>
      <c r="D452">
        <v>7043000000</v>
      </c>
      <c r="E452">
        <v>1338678150</v>
      </c>
      <c r="F452">
        <v>1757000000</v>
      </c>
      <c r="G452">
        <v>457000000</v>
      </c>
      <c r="H452">
        <v>2908000000</v>
      </c>
      <c r="I452">
        <v>1.82545620109553</v>
      </c>
      <c r="J452">
        <v>5025507373.9299698</v>
      </c>
      <c r="K452">
        <v>524000000</v>
      </c>
      <c r="L452">
        <v>-2.0173280749381899</v>
      </c>
      <c r="M452">
        <v>-15.508800266569899</v>
      </c>
      <c r="N452">
        <v>69.449292126238902</v>
      </c>
      <c r="O452">
        <v>33.325612149532702</v>
      </c>
      <c r="P452">
        <v>5.0424100000000003</v>
      </c>
      <c r="Q452">
        <v>3.1660300000000001</v>
      </c>
      <c r="R452">
        <v>409031270</v>
      </c>
      <c r="S452">
        <v>12.8794</v>
      </c>
      <c r="T452">
        <v>4681000000</v>
      </c>
    </row>
    <row r="453" spans="1:20" x14ac:dyDescent="0.2">
      <c r="A453" t="s">
        <v>117</v>
      </c>
      <c r="B453" t="s">
        <v>45</v>
      </c>
      <c r="C453">
        <v>2015</v>
      </c>
      <c r="D453">
        <v>6494000000</v>
      </c>
      <c r="E453">
        <v>1342911230</v>
      </c>
      <c r="F453">
        <v>1867000000</v>
      </c>
      <c r="G453">
        <v>246000000</v>
      </c>
      <c r="H453">
        <v>2641000000</v>
      </c>
      <c r="I453">
        <v>1.1850705930294001</v>
      </c>
      <c r="J453">
        <v>6974173592.7041702</v>
      </c>
      <c r="K453">
        <v>60000000</v>
      </c>
      <c r="L453">
        <v>15.427534479771101</v>
      </c>
      <c r="M453">
        <v>-19.725843823976899</v>
      </c>
      <c r="N453">
        <v>68.867185567652399</v>
      </c>
      <c r="O453">
        <v>74.214518382352907</v>
      </c>
      <c r="P453">
        <v>6.0801800000000004</v>
      </c>
      <c r="Q453">
        <v>3.88253</v>
      </c>
      <c r="R453">
        <v>766700930</v>
      </c>
      <c r="S453">
        <v>12.081099999999999</v>
      </c>
      <c r="T453">
        <v>4526000000</v>
      </c>
    </row>
    <row r="454" spans="1:20" x14ac:dyDescent="0.2">
      <c r="A454" t="s">
        <v>117</v>
      </c>
      <c r="B454" t="s">
        <v>45</v>
      </c>
      <c r="C454">
        <v>2016</v>
      </c>
      <c r="D454">
        <v>6793000000</v>
      </c>
      <c r="E454">
        <v>793345530</v>
      </c>
      <c r="F454">
        <v>1887000000</v>
      </c>
      <c r="G454">
        <v>596000000</v>
      </c>
      <c r="H454">
        <v>3084000000</v>
      </c>
      <c r="I454">
        <v>0.57152271041881197</v>
      </c>
      <c r="J454">
        <v>9838199432.0762501</v>
      </c>
      <c r="K454">
        <v>560000000</v>
      </c>
      <c r="L454">
        <v>10.437470939038199</v>
      </c>
      <c r="M454">
        <v>-11.569328099445</v>
      </c>
      <c r="N454">
        <v>68.632886425543603</v>
      </c>
      <c r="O454">
        <v>-13.7776653465347</v>
      </c>
      <c r="P454">
        <v>11.415319999999999</v>
      </c>
      <c r="Q454">
        <v>8.2225999999999999</v>
      </c>
      <c r="R454">
        <v>992483940</v>
      </c>
      <c r="S454">
        <v>17.484300000000001</v>
      </c>
      <c r="T454">
        <v>4991000000</v>
      </c>
    </row>
    <row r="455" spans="1:20" x14ac:dyDescent="0.2">
      <c r="A455" t="s">
        <v>117</v>
      </c>
      <c r="B455" t="s">
        <v>45</v>
      </c>
      <c r="C455">
        <v>2017</v>
      </c>
      <c r="D455">
        <v>7443000000</v>
      </c>
      <c r="E455">
        <v>410242000</v>
      </c>
      <c r="F455">
        <v>1471000000</v>
      </c>
      <c r="G455">
        <v>768000000</v>
      </c>
      <c r="H455">
        <v>3733000000</v>
      </c>
      <c r="I455">
        <v>0.26594486344507101</v>
      </c>
      <c r="J455">
        <v>13358618451.204599</v>
      </c>
      <c r="K455">
        <v>942000000</v>
      </c>
      <c r="L455">
        <v>0.18497872021928699</v>
      </c>
      <c r="M455">
        <v>2.2583086230968599</v>
      </c>
      <c r="N455">
        <v>77.569644781181196</v>
      </c>
      <c r="O455">
        <v>9.8435896805896803</v>
      </c>
      <c r="P455">
        <v>11.05884</v>
      </c>
      <c r="Q455">
        <v>7.9284999999999997</v>
      </c>
      <c r="R455">
        <v>1068436560</v>
      </c>
      <c r="S455">
        <v>21.107099999999999</v>
      </c>
      <c r="T455">
        <v>5226000000</v>
      </c>
    </row>
    <row r="456" spans="1:20" x14ac:dyDescent="0.2">
      <c r="A456" t="s">
        <v>117</v>
      </c>
      <c r="B456" t="s">
        <v>45</v>
      </c>
      <c r="C456">
        <v>2018</v>
      </c>
      <c r="D456">
        <v>7781000000</v>
      </c>
      <c r="E456">
        <v>12843290</v>
      </c>
      <c r="F456">
        <v>1195000000</v>
      </c>
      <c r="G456">
        <v>783000000</v>
      </c>
      <c r="H456">
        <v>4332000000</v>
      </c>
      <c r="I456">
        <v>1.4999805419277999E-2</v>
      </c>
      <c r="J456">
        <v>17696964972.269402</v>
      </c>
      <c r="K456">
        <v>914000000</v>
      </c>
      <c r="L456">
        <v>6.1218227760384698</v>
      </c>
      <c r="M456">
        <v>10.2960918205089</v>
      </c>
      <c r="N456">
        <v>74.345073725584697</v>
      </c>
      <c r="O456">
        <v>-8.5997389473684205</v>
      </c>
      <c r="P456">
        <v>11.73438</v>
      </c>
      <c r="Q456">
        <v>8.9220699999999997</v>
      </c>
      <c r="R456">
        <v>1273866670</v>
      </c>
      <c r="S456">
        <v>21.687999999999999</v>
      </c>
      <c r="T456">
        <v>5527000000</v>
      </c>
    </row>
    <row r="457" spans="1:20" x14ac:dyDescent="0.2">
      <c r="A457" t="s">
        <v>117</v>
      </c>
      <c r="B457" t="s">
        <v>45</v>
      </c>
      <c r="C457">
        <v>2019</v>
      </c>
      <c r="D457">
        <v>8210000000</v>
      </c>
      <c r="E457">
        <v>-279188220</v>
      </c>
      <c r="F457">
        <v>1140000000</v>
      </c>
      <c r="G457">
        <v>1136000000</v>
      </c>
      <c r="H457">
        <v>4614000000</v>
      </c>
      <c r="I457">
        <v>-0.115217350909209</v>
      </c>
      <c r="J457">
        <v>23599395259.439999</v>
      </c>
      <c r="K457">
        <v>779000000</v>
      </c>
      <c r="L457">
        <v>-5.5964040655467802</v>
      </c>
      <c r="M457">
        <v>12.2282628031311</v>
      </c>
      <c r="N457">
        <v>78.026907186585305</v>
      </c>
      <c r="O457">
        <v>61.113371052631599</v>
      </c>
      <c r="P457">
        <v>11.9247</v>
      </c>
      <c r="Q457">
        <v>9.1378000000000004</v>
      </c>
      <c r="R457">
        <v>1595732690</v>
      </c>
      <c r="S457">
        <v>20.046299999999999</v>
      </c>
      <c r="T457">
        <v>5756000000</v>
      </c>
    </row>
    <row r="458" spans="1:20" x14ac:dyDescent="0.2">
      <c r="A458" t="s">
        <v>117</v>
      </c>
      <c r="B458" t="s">
        <v>45</v>
      </c>
      <c r="C458">
        <v>2020</v>
      </c>
      <c r="D458">
        <v>9793000000</v>
      </c>
      <c r="E458">
        <v>-373778290</v>
      </c>
      <c r="F458">
        <v>1322000000</v>
      </c>
      <c r="G458">
        <v>1493000000</v>
      </c>
      <c r="H458">
        <v>5920000000</v>
      </c>
      <c r="I458">
        <v>-0.19483948258568701</v>
      </c>
      <c r="J458">
        <v>43660419652.080002</v>
      </c>
      <c r="K458">
        <v>1789000000</v>
      </c>
      <c r="L458">
        <v>14.4713208887752</v>
      </c>
      <c r="M458">
        <v>15.825139241624299</v>
      </c>
      <c r="N458">
        <v>74.755637119852807</v>
      </c>
      <c r="O458">
        <v>46.887888888888902</v>
      </c>
      <c r="P458">
        <v>16.326530000000002</v>
      </c>
      <c r="Q458">
        <v>13.186809999999999</v>
      </c>
      <c r="R458">
        <v>1321929630</v>
      </c>
      <c r="S458">
        <v>23.208500000000001</v>
      </c>
      <c r="T458">
        <v>7244000000</v>
      </c>
    </row>
    <row r="459" spans="1:20" x14ac:dyDescent="0.2">
      <c r="A459" t="s">
        <v>117</v>
      </c>
      <c r="B459" t="s">
        <v>45</v>
      </c>
      <c r="C459">
        <v>2021</v>
      </c>
      <c r="D459">
        <v>9815000000</v>
      </c>
      <c r="E459">
        <v>254237750</v>
      </c>
      <c r="F459">
        <v>1307000000</v>
      </c>
      <c r="G459">
        <v>1552000000</v>
      </c>
      <c r="H459">
        <v>5925000000</v>
      </c>
      <c r="I459">
        <v>0.18819531163676101</v>
      </c>
      <c r="J459">
        <v>32999154388.200001</v>
      </c>
      <c r="K459">
        <v>714000000</v>
      </c>
      <c r="L459">
        <v>14.1674685909883</v>
      </c>
      <c r="M459">
        <v>8.6187716129870999</v>
      </c>
      <c r="N459">
        <v>73.5641266390016</v>
      </c>
      <c r="O459">
        <v>51.172255905511797</v>
      </c>
      <c r="P459">
        <v>20.924890000000001</v>
      </c>
      <c r="Q459">
        <v>15.133710000000001</v>
      </c>
      <c r="R459">
        <v>1448913240</v>
      </c>
      <c r="S459">
        <v>35.128900000000002</v>
      </c>
      <c r="T459">
        <v>7236000000</v>
      </c>
    </row>
    <row r="460" spans="1:20" x14ac:dyDescent="0.2">
      <c r="A460" t="s">
        <v>117</v>
      </c>
      <c r="B460" t="s">
        <v>45</v>
      </c>
      <c r="C460">
        <v>2022</v>
      </c>
      <c r="D460">
        <v>12417000000</v>
      </c>
      <c r="E460">
        <v>1563277670</v>
      </c>
      <c r="F460">
        <v>1757000000</v>
      </c>
      <c r="G460">
        <v>1581000000</v>
      </c>
      <c r="H460">
        <v>6981000000</v>
      </c>
      <c r="I460">
        <v>0.47323821683780398</v>
      </c>
      <c r="J460">
        <v>37045204553.279999</v>
      </c>
      <c r="K460">
        <v>1774000000</v>
      </c>
      <c r="L460">
        <v>2.5620021757634999</v>
      </c>
      <c r="M460">
        <v>19.140668032670799</v>
      </c>
      <c r="N460">
        <v>77.174481780599606</v>
      </c>
      <c r="O460">
        <v>59.860538934426202</v>
      </c>
      <c r="P460">
        <v>13.016769999999999</v>
      </c>
      <c r="Q460">
        <v>9.1599500000000003</v>
      </c>
      <c r="R460">
        <v>2762159250</v>
      </c>
      <c r="S460">
        <v>37.443899999999999</v>
      </c>
      <c r="T460">
        <v>8742000000</v>
      </c>
    </row>
    <row r="461" spans="1:20" x14ac:dyDescent="0.2">
      <c r="A461" t="s">
        <v>117</v>
      </c>
      <c r="B461" t="s">
        <v>45</v>
      </c>
      <c r="C461">
        <v>2023</v>
      </c>
      <c r="D461">
        <v>14917000000</v>
      </c>
      <c r="E461">
        <v>1974767000</v>
      </c>
      <c r="F461">
        <v>2615000000</v>
      </c>
      <c r="G461">
        <v>1271000000</v>
      </c>
      <c r="H461">
        <v>8322000000</v>
      </c>
      <c r="I461">
        <v>0.62389029379351102</v>
      </c>
      <c r="J461">
        <v>27030076578.119999</v>
      </c>
      <c r="K461">
        <v>1891000000</v>
      </c>
      <c r="L461">
        <v>9.6783719206570602</v>
      </c>
      <c r="M461">
        <v>29.69425998929</v>
      </c>
      <c r="N461">
        <v>77.408192793078996</v>
      </c>
      <c r="O461">
        <v>-11.0509196787149</v>
      </c>
      <c r="P461">
        <v>12.24718</v>
      </c>
      <c r="Q461">
        <v>9.79697</v>
      </c>
      <c r="R461">
        <v>2515984670</v>
      </c>
      <c r="S461">
        <v>37.5501</v>
      </c>
      <c r="T461">
        <v>10942000000</v>
      </c>
    </row>
    <row r="462" spans="1:20" x14ac:dyDescent="0.2">
      <c r="A462" t="s">
        <v>117</v>
      </c>
      <c r="B462" t="s">
        <v>45</v>
      </c>
      <c r="C462">
        <v>2024</v>
      </c>
      <c r="D462">
        <v>15983000000</v>
      </c>
      <c r="E462">
        <v>4037494620</v>
      </c>
      <c r="F462">
        <v>4068000000</v>
      </c>
      <c r="G462">
        <v>1575000000</v>
      </c>
      <c r="H462">
        <v>8463000000</v>
      </c>
      <c r="I462">
        <v>2.8413699561530099</v>
      </c>
      <c r="J462">
        <v>11080485290.49</v>
      </c>
      <c r="K462">
        <v>1436000000</v>
      </c>
      <c r="L462">
        <v>8.08536016325926</v>
      </c>
      <c r="M462">
        <v>30.281338660651201</v>
      </c>
      <c r="N462">
        <v>75.332096183190501</v>
      </c>
      <c r="O462">
        <v>13.429193006993</v>
      </c>
      <c r="P462">
        <v>13.384169999999999</v>
      </c>
      <c r="Q462">
        <v>9.5889199999999999</v>
      </c>
      <c r="R462">
        <v>458003230</v>
      </c>
      <c r="S462">
        <v>35.817999999999998</v>
      </c>
      <c r="T462">
        <v>12531000000</v>
      </c>
    </row>
    <row r="463" spans="1:20" x14ac:dyDescent="0.2">
      <c r="A463" t="s">
        <v>117</v>
      </c>
      <c r="B463" t="s">
        <v>45</v>
      </c>
      <c r="C463">
        <v>2025</v>
      </c>
      <c r="D463">
        <v>15581000000</v>
      </c>
      <c r="E463">
        <v>4313941500</v>
      </c>
      <c r="F463">
        <v>5148000000</v>
      </c>
      <c r="G463">
        <v>955000000</v>
      </c>
      <c r="H463">
        <v>7417000000</v>
      </c>
      <c r="I463">
        <v>2.7924304178629402</v>
      </c>
      <c r="J463">
        <v>12991974769.620001</v>
      </c>
      <c r="K463">
        <v>-94000000</v>
      </c>
      <c r="L463">
        <v>0.59585164525005196</v>
      </c>
      <c r="M463">
        <v>22.309933939396402</v>
      </c>
      <c r="N463">
        <v>72.477523595431904</v>
      </c>
      <c r="O463">
        <v>-35.189275773195902</v>
      </c>
      <c r="P463">
        <v>6.1816199999999997</v>
      </c>
      <c r="Q463">
        <v>1.4377</v>
      </c>
      <c r="R463">
        <v>555910150</v>
      </c>
      <c r="S463">
        <v>34.2864</v>
      </c>
      <c r="T463">
        <v>12565000000</v>
      </c>
    </row>
    <row r="464" spans="1:20" x14ac:dyDescent="0.2">
      <c r="A464" t="s">
        <v>118</v>
      </c>
      <c r="B464" t="s">
        <v>46</v>
      </c>
      <c r="C464">
        <v>2004</v>
      </c>
      <c r="D464">
        <v>35069807042.7994</v>
      </c>
      <c r="E464">
        <v>19612297709.766602</v>
      </c>
      <c r="F464">
        <v>22414578557.8503</v>
      </c>
      <c r="G464">
        <v>143894579.48064899</v>
      </c>
      <c r="H464">
        <v>1830159182.7695</v>
      </c>
      <c r="I464" t="s">
        <v>18</v>
      </c>
      <c r="J464">
        <v>39190926993.252502</v>
      </c>
      <c r="K464">
        <v>1538988474.24001</v>
      </c>
      <c r="L464" t="s">
        <v>18</v>
      </c>
      <c r="M464">
        <v>33.537062240918502</v>
      </c>
      <c r="N464">
        <v>41.966973311116298</v>
      </c>
      <c r="O464" t="s">
        <v>18</v>
      </c>
      <c r="P464">
        <v>32.62482</v>
      </c>
      <c r="Q464">
        <v>20.259049999999998</v>
      </c>
      <c r="R464">
        <v>3092602120.1907802</v>
      </c>
      <c r="S464" t="s">
        <v>18</v>
      </c>
      <c r="T464">
        <v>24319682834.0993</v>
      </c>
    </row>
    <row r="465" spans="1:20" x14ac:dyDescent="0.2">
      <c r="A465" t="s">
        <v>118</v>
      </c>
      <c r="B465" t="s">
        <v>46</v>
      </c>
      <c r="C465">
        <v>2005</v>
      </c>
      <c r="D465">
        <v>40178214042.778297</v>
      </c>
      <c r="E465">
        <v>15861644923.203899</v>
      </c>
      <c r="F465">
        <v>20858849293.326302</v>
      </c>
      <c r="G465">
        <v>396533897.66457599</v>
      </c>
      <c r="H465">
        <v>3077511242.5364699</v>
      </c>
      <c r="I465" t="s">
        <v>18</v>
      </c>
      <c r="J465">
        <v>20098419628.661999</v>
      </c>
      <c r="K465">
        <v>1638955445.2818501</v>
      </c>
      <c r="L465" t="s">
        <v>18</v>
      </c>
      <c r="M465">
        <v>36.388204129865898</v>
      </c>
      <c r="N465">
        <v>55.821864212612198</v>
      </c>
      <c r="O465" t="s">
        <v>18</v>
      </c>
      <c r="P465">
        <v>40.720669999999998</v>
      </c>
      <c r="Q465">
        <v>29.016529999999999</v>
      </c>
      <c r="R465">
        <v>3479316352.63798</v>
      </c>
      <c r="S465" t="s">
        <v>18</v>
      </c>
      <c r="T465">
        <v>23950938987.9828</v>
      </c>
    </row>
    <row r="466" spans="1:20" x14ac:dyDescent="0.2">
      <c r="A466" t="s">
        <v>118</v>
      </c>
      <c r="B466" t="s">
        <v>46</v>
      </c>
      <c r="C466">
        <v>2006</v>
      </c>
      <c r="D466">
        <v>37184451674.5746</v>
      </c>
      <c r="E466">
        <v>19173861655.6978</v>
      </c>
      <c r="F466">
        <v>18831764621.026501</v>
      </c>
      <c r="G466">
        <v>2082696490.95365</v>
      </c>
      <c r="H466">
        <v>4994455359.1601896</v>
      </c>
      <c r="I466" t="s">
        <v>18</v>
      </c>
      <c r="J466">
        <v>26047351054.121899</v>
      </c>
      <c r="K466">
        <v>1730037814.3710401</v>
      </c>
      <c r="L466" t="s">
        <v>18</v>
      </c>
      <c r="M466">
        <v>28.8049327885149</v>
      </c>
      <c r="N466">
        <v>42.737656430338198</v>
      </c>
      <c r="O466" t="s">
        <v>18</v>
      </c>
      <c r="P466">
        <v>36.783940000000001</v>
      </c>
      <c r="Q466">
        <v>26.770409999999998</v>
      </c>
      <c r="R466">
        <v>3889992184.2250099</v>
      </c>
      <c r="S466" t="s">
        <v>18</v>
      </c>
      <c r="T466">
        <v>23841997983.905998</v>
      </c>
    </row>
    <row r="467" spans="1:20" x14ac:dyDescent="0.2">
      <c r="A467" t="s">
        <v>118</v>
      </c>
      <c r="B467" t="s">
        <v>46</v>
      </c>
      <c r="C467">
        <v>2007</v>
      </c>
      <c r="D467">
        <v>41831540105.4786</v>
      </c>
      <c r="E467">
        <v>22321208871.348</v>
      </c>
      <c r="F467">
        <v>23159192498.425701</v>
      </c>
      <c r="G467">
        <v>2347305061.3979902</v>
      </c>
      <c r="H467">
        <v>6078238153.3375301</v>
      </c>
      <c r="I467" t="s">
        <v>18</v>
      </c>
      <c r="J467">
        <v>27225497760.0826</v>
      </c>
      <c r="K467">
        <v>1929976075.7037301</v>
      </c>
      <c r="L467" t="s">
        <v>18</v>
      </c>
      <c r="M467">
        <v>34.709525845240897</v>
      </c>
      <c r="N467">
        <v>51.841735591936697</v>
      </c>
      <c r="O467" t="s">
        <v>18</v>
      </c>
      <c r="P467">
        <v>39.746980000000001</v>
      </c>
      <c r="Q467">
        <v>28.901669999999999</v>
      </c>
      <c r="R467">
        <v>4061985142.5431199</v>
      </c>
      <c r="S467" t="s">
        <v>18</v>
      </c>
      <c r="T467">
        <v>29253639286.838799</v>
      </c>
    </row>
    <row r="468" spans="1:20" x14ac:dyDescent="0.2">
      <c r="A468" t="s">
        <v>118</v>
      </c>
      <c r="B468" t="s">
        <v>46</v>
      </c>
      <c r="C468">
        <v>2008</v>
      </c>
      <c r="D468">
        <v>47483735436.411903</v>
      </c>
      <c r="E468">
        <v>23123097250.016201</v>
      </c>
      <c r="F468">
        <v>26403878514.494202</v>
      </c>
      <c r="G468">
        <v>218743744.299481</v>
      </c>
      <c r="H468">
        <v>6733284450.96562</v>
      </c>
      <c r="I468" t="s">
        <v>18</v>
      </c>
      <c r="J468">
        <v>16208592616.283199</v>
      </c>
      <c r="K468">
        <v>2228401364.70051</v>
      </c>
      <c r="L468" t="s">
        <v>18</v>
      </c>
      <c r="M468">
        <v>13.640626171909499</v>
      </c>
      <c r="N468">
        <v>53.862595534968001</v>
      </c>
      <c r="O468" t="s">
        <v>18</v>
      </c>
      <c r="P468">
        <v>34.423380000000002</v>
      </c>
      <c r="Q468">
        <v>25.778400000000001</v>
      </c>
      <c r="R468">
        <v>3497926143.2038698</v>
      </c>
      <c r="S468" t="s">
        <v>18</v>
      </c>
      <c r="T468">
        <v>33159791628.6632</v>
      </c>
    </row>
    <row r="469" spans="1:20" x14ac:dyDescent="0.2">
      <c r="A469" t="s">
        <v>118</v>
      </c>
      <c r="B469" t="s">
        <v>46</v>
      </c>
      <c r="C469">
        <v>2009</v>
      </c>
      <c r="D469">
        <v>48074911528.764603</v>
      </c>
      <c r="E469">
        <v>26015339840.2076</v>
      </c>
      <c r="F469">
        <v>28966899151.959702</v>
      </c>
      <c r="G469">
        <v>796797845.51913798</v>
      </c>
      <c r="H469">
        <v>4292113224.8452902</v>
      </c>
      <c r="I469" t="s">
        <v>18</v>
      </c>
      <c r="J469">
        <v>16657406515.275499</v>
      </c>
      <c r="K469">
        <v>1104097076.5859799</v>
      </c>
      <c r="L469" t="s">
        <v>18</v>
      </c>
      <c r="M469">
        <v>17.868099270838599</v>
      </c>
      <c r="N469">
        <v>59.471736449481902</v>
      </c>
      <c r="O469" t="s">
        <v>18</v>
      </c>
      <c r="P469">
        <v>24.026260000000001</v>
      </c>
      <c r="Q469">
        <v>16.720849999999999</v>
      </c>
      <c r="R469">
        <v>3561836799.9570799</v>
      </c>
      <c r="S469">
        <v>0</v>
      </c>
      <c r="T469">
        <v>33274148292.459301</v>
      </c>
    </row>
    <row r="470" spans="1:20" x14ac:dyDescent="0.2">
      <c r="A470" t="s">
        <v>118</v>
      </c>
      <c r="B470" t="s">
        <v>46</v>
      </c>
      <c r="C470">
        <v>2010</v>
      </c>
      <c r="D470">
        <v>48943317700.821404</v>
      </c>
      <c r="E470">
        <v>24555000646.113899</v>
      </c>
      <c r="F470">
        <v>28233460701.109798</v>
      </c>
      <c r="G470">
        <v>809110480.21011996</v>
      </c>
      <c r="H470">
        <v>4718687370.00319</v>
      </c>
      <c r="I470" t="s">
        <v>18</v>
      </c>
      <c r="J470">
        <v>21128468227.336899</v>
      </c>
      <c r="K470">
        <v>1560248402.16921</v>
      </c>
      <c r="L470" t="s">
        <v>18</v>
      </c>
      <c r="M470">
        <v>17.670378113515799</v>
      </c>
      <c r="N470">
        <v>58.146594047442797</v>
      </c>
      <c r="O470" t="s">
        <v>18</v>
      </c>
      <c r="P470">
        <v>32.390949999999997</v>
      </c>
      <c r="Q470">
        <v>23.745270000000001</v>
      </c>
      <c r="R470">
        <v>4066743837.0081401</v>
      </c>
      <c r="S470">
        <v>0</v>
      </c>
      <c r="T470">
        <v>32965633245.783199</v>
      </c>
    </row>
    <row r="471" spans="1:20" x14ac:dyDescent="0.2">
      <c r="A471" t="s">
        <v>118</v>
      </c>
      <c r="B471" t="s">
        <v>46</v>
      </c>
      <c r="C471">
        <v>2011</v>
      </c>
      <c r="D471">
        <v>52512877731.287804</v>
      </c>
      <c r="E471">
        <v>23735762848.640099</v>
      </c>
      <c r="F471">
        <v>26254175379.534801</v>
      </c>
      <c r="G471">
        <v>434589332.94858801</v>
      </c>
      <c r="H471">
        <v>10253592074.2558</v>
      </c>
      <c r="I471" t="s">
        <v>18</v>
      </c>
      <c r="J471">
        <v>23952845497.0798</v>
      </c>
      <c r="K471">
        <v>2537072148.9029498</v>
      </c>
      <c r="L471" t="s">
        <v>18</v>
      </c>
      <c r="M471">
        <v>13.389422603557501</v>
      </c>
      <c r="N471">
        <v>64.163708934933695</v>
      </c>
      <c r="O471" t="s">
        <v>18</v>
      </c>
      <c r="P471">
        <v>34.790489999999998</v>
      </c>
      <c r="Q471">
        <v>26.110299999999999</v>
      </c>
      <c r="R471">
        <v>4168710139.0552502</v>
      </c>
      <c r="S471">
        <v>6.9699999999999998E-2</v>
      </c>
      <c r="T471">
        <v>36517953141.281502</v>
      </c>
    </row>
    <row r="472" spans="1:20" x14ac:dyDescent="0.2">
      <c r="A472" t="s">
        <v>118</v>
      </c>
      <c r="B472" t="s">
        <v>46</v>
      </c>
      <c r="C472">
        <v>2012</v>
      </c>
      <c r="D472">
        <v>56796543603.208397</v>
      </c>
      <c r="E472">
        <v>26317826404.273899</v>
      </c>
      <c r="F472">
        <v>27627345863.819</v>
      </c>
      <c r="G472">
        <v>398361729.71934497</v>
      </c>
      <c r="H472">
        <v>11085735002.6416</v>
      </c>
      <c r="I472" t="s">
        <v>18</v>
      </c>
      <c r="J472">
        <v>29094671405.1492</v>
      </c>
      <c r="K472">
        <v>2217190144.0620599</v>
      </c>
      <c r="L472" t="s">
        <v>18</v>
      </c>
      <c r="M472">
        <v>8.5967061978347505</v>
      </c>
      <c r="N472">
        <v>72.230099085260093</v>
      </c>
      <c r="O472" t="s">
        <v>18</v>
      </c>
      <c r="P472">
        <v>34.752749999999999</v>
      </c>
      <c r="Q472">
        <v>25.55668</v>
      </c>
      <c r="R472">
        <v>4727002386.1065302</v>
      </c>
      <c r="S472">
        <v>7.2300000000000003E-2</v>
      </c>
      <c r="T472">
        <v>38721480059.557198</v>
      </c>
    </row>
    <row r="473" spans="1:20" x14ac:dyDescent="0.2">
      <c r="A473" t="s">
        <v>118</v>
      </c>
      <c r="B473" t="s">
        <v>46</v>
      </c>
      <c r="C473">
        <v>2013</v>
      </c>
      <c r="D473">
        <v>64875132248.992897</v>
      </c>
      <c r="E473">
        <v>28097558864.462101</v>
      </c>
      <c r="F473">
        <v>33318103291.0238</v>
      </c>
      <c r="G473">
        <v>795744698.63950801</v>
      </c>
      <c r="H473">
        <v>12130659496.8458</v>
      </c>
      <c r="I473">
        <v>4.5029055161477096</v>
      </c>
      <c r="J473">
        <v>32027985701.7616</v>
      </c>
      <c r="K473">
        <v>2622075785.2283001</v>
      </c>
      <c r="L473">
        <v>3.9817616574617101</v>
      </c>
      <c r="M473">
        <v>3.32997906254682</v>
      </c>
      <c r="N473">
        <v>69.361933300859306</v>
      </c>
      <c r="O473">
        <v>6.31878925485048</v>
      </c>
      <c r="P473">
        <v>35.587440000000001</v>
      </c>
      <c r="Q473">
        <v>26.109059999999999</v>
      </c>
      <c r="R473">
        <v>4595515142.3444405</v>
      </c>
      <c r="S473">
        <v>2.2077</v>
      </c>
      <c r="T473">
        <v>45454692331.078499</v>
      </c>
    </row>
    <row r="474" spans="1:20" x14ac:dyDescent="0.2">
      <c r="A474" t="s">
        <v>118</v>
      </c>
      <c r="B474" t="s">
        <v>46</v>
      </c>
      <c r="C474">
        <v>2014</v>
      </c>
      <c r="D474">
        <v>63385888131.695999</v>
      </c>
      <c r="E474">
        <v>28641576489.8657</v>
      </c>
      <c r="F474">
        <v>31400118299.815102</v>
      </c>
      <c r="G474">
        <v>428348434.61019403</v>
      </c>
      <c r="H474">
        <v>14412593798.4238</v>
      </c>
      <c r="I474">
        <v>4.2663037640500097</v>
      </c>
      <c r="J474">
        <v>40617040561.928398</v>
      </c>
      <c r="K474">
        <v>2888515262.2674599</v>
      </c>
      <c r="L474">
        <v>3.0623099490827199</v>
      </c>
      <c r="M474">
        <v>-0.392392335880831</v>
      </c>
      <c r="N474">
        <v>69.567784031888706</v>
      </c>
      <c r="O474">
        <v>16.441592415258299</v>
      </c>
      <c r="P474">
        <v>34.789650000000002</v>
      </c>
      <c r="Q474">
        <v>25.221150000000002</v>
      </c>
      <c r="R474">
        <v>4865571638.5610504</v>
      </c>
      <c r="S474">
        <v>0</v>
      </c>
      <c r="T474">
        <v>45822392288.851501</v>
      </c>
    </row>
    <row r="475" spans="1:20" x14ac:dyDescent="0.2">
      <c r="A475" t="s">
        <v>118</v>
      </c>
      <c r="B475" t="s">
        <v>46</v>
      </c>
      <c r="C475">
        <v>2015</v>
      </c>
      <c r="D475">
        <v>76066812845.395996</v>
      </c>
      <c r="E475">
        <v>35258787927.848198</v>
      </c>
      <c r="F475">
        <v>35776491147.492401</v>
      </c>
      <c r="G475">
        <v>164315030.743018</v>
      </c>
      <c r="H475">
        <v>16517112586.1175</v>
      </c>
      <c r="I475">
        <v>4.3909413944890003</v>
      </c>
      <c r="J475">
        <v>45351151791.872902</v>
      </c>
      <c r="K475">
        <v>1845001212.53933</v>
      </c>
      <c r="L475">
        <v>3.1092970016185499</v>
      </c>
      <c r="M475">
        <v>-2.4437841917985601</v>
      </c>
      <c r="N475">
        <v>64.024269350279894</v>
      </c>
      <c r="O475">
        <v>3.8051009340661301</v>
      </c>
      <c r="P475">
        <v>31.002469999999999</v>
      </c>
      <c r="Q475">
        <v>22.09328</v>
      </c>
      <c r="R475">
        <v>5735221514.7964697</v>
      </c>
      <c r="S475">
        <v>0</v>
      </c>
      <c r="T475">
        <v>52310173316.542</v>
      </c>
    </row>
    <row r="476" spans="1:20" x14ac:dyDescent="0.2">
      <c r="A476" t="s">
        <v>118</v>
      </c>
      <c r="B476" t="s">
        <v>46</v>
      </c>
      <c r="C476">
        <v>2016</v>
      </c>
      <c r="D476">
        <v>74368974356.765396</v>
      </c>
      <c r="E476">
        <v>33130402458.531799</v>
      </c>
      <c r="F476">
        <v>35767370434.183296</v>
      </c>
      <c r="G476">
        <v>160261644.26832101</v>
      </c>
      <c r="H476">
        <v>17105091244.544001</v>
      </c>
      <c r="I476">
        <v>4.7164637803473202</v>
      </c>
      <c r="J476">
        <v>36752499500.923798</v>
      </c>
      <c r="K476">
        <v>2516462807.46767</v>
      </c>
      <c r="L476">
        <v>5.5234041789188497</v>
      </c>
      <c r="M476">
        <v>-0.53537648830804796</v>
      </c>
      <c r="N476">
        <v>70.605036632620099</v>
      </c>
      <c r="O476">
        <v>-2.54883609539861</v>
      </c>
      <c r="P476">
        <v>34.332430000000002</v>
      </c>
      <c r="Q476">
        <v>24.40963</v>
      </c>
      <c r="R476">
        <v>4776165643.9389601</v>
      </c>
      <c r="S476">
        <v>0</v>
      </c>
      <c r="T476">
        <v>52885080705.835098</v>
      </c>
    </row>
    <row r="477" spans="1:20" x14ac:dyDescent="0.2">
      <c r="A477" t="s">
        <v>118</v>
      </c>
      <c r="B477" t="s">
        <v>46</v>
      </c>
      <c r="C477">
        <v>2017</v>
      </c>
      <c r="D477">
        <v>77562894885.401398</v>
      </c>
      <c r="E477">
        <v>27953357363.5205</v>
      </c>
      <c r="F477">
        <v>33737031952.1283</v>
      </c>
      <c r="G477">
        <v>1341800383.8771601</v>
      </c>
      <c r="H477">
        <v>23994548041.097401</v>
      </c>
      <c r="I477">
        <v>4.8995395498697398</v>
      </c>
      <c r="J477">
        <v>33940660662.979</v>
      </c>
      <c r="K477">
        <v>2079893888.0880599</v>
      </c>
      <c r="L477">
        <v>1.7848580455624701</v>
      </c>
      <c r="M477">
        <v>0.98919071484029297</v>
      </c>
      <c r="N477">
        <v>61.010590936772502</v>
      </c>
      <c r="O477">
        <v>10.162834685312101</v>
      </c>
      <c r="P477">
        <v>34.945129999999999</v>
      </c>
      <c r="Q477">
        <v>25.09478</v>
      </c>
      <c r="R477">
        <v>3924594159.6023502</v>
      </c>
      <c r="S477">
        <v>0</v>
      </c>
      <c r="T477">
        <v>57750428813.367996</v>
      </c>
    </row>
    <row r="478" spans="1:20" x14ac:dyDescent="0.2">
      <c r="A478" t="s">
        <v>118</v>
      </c>
      <c r="B478" t="s">
        <v>46</v>
      </c>
      <c r="C478">
        <v>2018</v>
      </c>
      <c r="D478">
        <v>66869470988.900101</v>
      </c>
      <c r="E478">
        <v>29739356859.158699</v>
      </c>
      <c r="F478">
        <v>30285601664.984901</v>
      </c>
      <c r="G478">
        <v>374233350.151362</v>
      </c>
      <c r="H478">
        <v>21421162462.159401</v>
      </c>
      <c r="I478">
        <v>5.3835997589505498</v>
      </c>
      <c r="J478">
        <v>31900300021.703899</v>
      </c>
      <c r="K478">
        <v>2256671416.9228802</v>
      </c>
      <c r="L478">
        <v>3.9174567491362202</v>
      </c>
      <c r="M478">
        <v>2.9066047226893299</v>
      </c>
      <c r="N478">
        <v>65.373867479986401</v>
      </c>
      <c r="O478">
        <v>12.7290643336854</v>
      </c>
      <c r="P478">
        <v>32.701639999999998</v>
      </c>
      <c r="Q478">
        <v>22.668849999999999</v>
      </c>
      <c r="R478">
        <v>3778309600.6921601</v>
      </c>
      <c r="S478">
        <v>0</v>
      </c>
      <c r="T478">
        <v>51724963925.328003</v>
      </c>
    </row>
    <row r="479" spans="1:20" x14ac:dyDescent="0.2">
      <c r="A479" t="s">
        <v>118</v>
      </c>
      <c r="B479" t="s">
        <v>46</v>
      </c>
      <c r="C479">
        <v>2019</v>
      </c>
      <c r="D479">
        <v>73145054078.707306</v>
      </c>
      <c r="E479">
        <v>32254543642.308899</v>
      </c>
      <c r="F479">
        <v>33376068543.132702</v>
      </c>
      <c r="G479">
        <v>292752150.11727899</v>
      </c>
      <c r="H479">
        <v>22478021240.552502</v>
      </c>
      <c r="I479">
        <v>5.2137097661706697</v>
      </c>
      <c r="J479">
        <v>36359876967.982498</v>
      </c>
      <c r="K479">
        <v>1657968158.74789</v>
      </c>
      <c r="L479">
        <v>2.8961008623410098</v>
      </c>
      <c r="M479">
        <v>4.7627500207662496</v>
      </c>
      <c r="N479">
        <v>68.097677098011005</v>
      </c>
      <c r="O479">
        <v>30.418732797123599</v>
      </c>
      <c r="P479">
        <v>34.755240000000001</v>
      </c>
      <c r="Q479">
        <v>23.049620000000001</v>
      </c>
      <c r="R479">
        <v>4187804590.1824398</v>
      </c>
      <c r="S479">
        <v>0</v>
      </c>
      <c r="T479">
        <v>55877324081.313499</v>
      </c>
    </row>
    <row r="480" spans="1:20" x14ac:dyDescent="0.2">
      <c r="A480" t="s">
        <v>118</v>
      </c>
      <c r="B480" t="s">
        <v>46</v>
      </c>
      <c r="C480">
        <v>2020</v>
      </c>
      <c r="D480">
        <v>76068761176.236801</v>
      </c>
      <c r="E480">
        <v>35550147844.504898</v>
      </c>
      <c r="F480">
        <v>34672312487.582001</v>
      </c>
      <c r="G480">
        <v>82193895.291078895</v>
      </c>
      <c r="H480">
        <v>22261034298.629101</v>
      </c>
      <c r="I480">
        <v>6.3527604059489802</v>
      </c>
      <c r="J480">
        <v>33453639342.044601</v>
      </c>
      <c r="K480">
        <v>1358225802.3226299</v>
      </c>
      <c r="L480">
        <v>3.6125210932215399</v>
      </c>
      <c r="M480">
        <v>12.2546313680505</v>
      </c>
      <c r="N480">
        <v>61.889483328589399</v>
      </c>
      <c r="O480">
        <v>10.202516329046</v>
      </c>
      <c r="P480">
        <v>34.828060000000001</v>
      </c>
      <c r="Q480">
        <v>23.548829999999999</v>
      </c>
      <c r="R480">
        <v>3639707223.1491699</v>
      </c>
      <c r="S480">
        <v>0</v>
      </c>
      <c r="T480">
        <v>56958117549.1754</v>
      </c>
    </row>
    <row r="481" spans="1:20" x14ac:dyDescent="0.2">
      <c r="A481" t="s">
        <v>118</v>
      </c>
      <c r="B481" t="s">
        <v>46</v>
      </c>
      <c r="C481">
        <v>2021</v>
      </c>
      <c r="D481">
        <v>78970973847.383408</v>
      </c>
      <c r="E481">
        <v>47813077699.557899</v>
      </c>
      <c r="F481">
        <v>36679864965.414597</v>
      </c>
      <c r="G481">
        <v>184456720.03747901</v>
      </c>
      <c r="H481">
        <v>23308515088.0481</v>
      </c>
      <c r="I481">
        <v>7.5779324871267297</v>
      </c>
      <c r="J481">
        <v>42725032149.942299</v>
      </c>
      <c r="K481">
        <v>1396586276.6738</v>
      </c>
      <c r="L481">
        <v>3.98812203666823</v>
      </c>
      <c r="M481">
        <v>9.4315087163364204</v>
      </c>
      <c r="N481">
        <v>67.553713507324105</v>
      </c>
      <c r="O481">
        <v>50.777994238165199</v>
      </c>
      <c r="P481">
        <v>31.028169999999999</v>
      </c>
      <c r="Q481">
        <v>18.792539999999999</v>
      </c>
      <c r="R481">
        <v>4367610256.60639</v>
      </c>
      <c r="S481">
        <v>0</v>
      </c>
      <c r="T481">
        <v>60013052608.3722</v>
      </c>
    </row>
    <row r="482" spans="1:20" x14ac:dyDescent="0.2">
      <c r="A482" t="s">
        <v>118</v>
      </c>
      <c r="B482" t="s">
        <v>46</v>
      </c>
      <c r="C482">
        <v>2022</v>
      </c>
      <c r="D482">
        <v>112588943317.924</v>
      </c>
      <c r="E482">
        <v>48521865298.372398</v>
      </c>
      <c r="F482">
        <v>53962221251.8386</v>
      </c>
      <c r="G482">
        <v>242126759.82349199</v>
      </c>
      <c r="H482">
        <v>28287289543.496498</v>
      </c>
      <c r="I482">
        <v>6.4354563650742396</v>
      </c>
      <c r="J482">
        <v>43690112008.437698</v>
      </c>
      <c r="K482">
        <v>2458589692.7219801</v>
      </c>
      <c r="L482">
        <v>6.4760282468310901</v>
      </c>
      <c r="M482">
        <v>9.5168114502001409</v>
      </c>
      <c r="N482">
        <v>70.970040420791094</v>
      </c>
      <c r="O482">
        <v>20.313579978176101</v>
      </c>
      <c r="P482">
        <v>30.90361</v>
      </c>
      <c r="Q482">
        <v>21.144580000000001</v>
      </c>
      <c r="R482">
        <v>5131086347.0879898</v>
      </c>
      <c r="S482">
        <v>2.0217999999999998</v>
      </c>
      <c r="T482">
        <v>82276809400.609406</v>
      </c>
    </row>
    <row r="483" spans="1:20" x14ac:dyDescent="0.2">
      <c r="A483" t="s">
        <v>118</v>
      </c>
      <c r="B483" t="s">
        <v>46</v>
      </c>
      <c r="C483">
        <v>2023</v>
      </c>
      <c r="D483">
        <v>105473804903.617</v>
      </c>
      <c r="E483">
        <v>51549289552.5914</v>
      </c>
      <c r="F483">
        <v>48909797553.124603</v>
      </c>
      <c r="G483">
        <v>185466953.61543101</v>
      </c>
      <c r="H483">
        <v>33609342796.8871</v>
      </c>
      <c r="I483">
        <v>6.39672927183849</v>
      </c>
      <c r="J483">
        <v>44468044216.273499</v>
      </c>
      <c r="K483">
        <v>2943898729.2582798</v>
      </c>
      <c r="L483">
        <v>3.07600676502366</v>
      </c>
      <c r="M483">
        <v>11.9983154510718</v>
      </c>
      <c r="N483">
        <v>71.156576807758796</v>
      </c>
      <c r="O483">
        <v>29.391593686906798</v>
      </c>
      <c r="P483">
        <v>28.98564</v>
      </c>
      <c r="Q483">
        <v>19.825479999999999</v>
      </c>
      <c r="R483">
        <v>5475584712.4411001</v>
      </c>
      <c r="S483">
        <v>1.8190999999999999</v>
      </c>
      <c r="T483">
        <v>82546448367.722</v>
      </c>
    </row>
    <row r="484" spans="1:20" x14ac:dyDescent="0.2">
      <c r="A484" t="s">
        <v>118</v>
      </c>
      <c r="B484" t="s">
        <v>46</v>
      </c>
      <c r="C484">
        <v>2024</v>
      </c>
      <c r="D484">
        <v>114997553963.646</v>
      </c>
      <c r="E484">
        <v>41895350303.358902</v>
      </c>
      <c r="F484">
        <v>55053799747.538498</v>
      </c>
      <c r="G484">
        <v>653787263.31734395</v>
      </c>
      <c r="H484">
        <v>34931420739.712196</v>
      </c>
      <c r="I484">
        <v>4.4835987120544898</v>
      </c>
      <c r="J484">
        <v>58414758306.041</v>
      </c>
      <c r="K484">
        <v>2526421896.1715298</v>
      </c>
      <c r="L484">
        <v>0.55863598372394796</v>
      </c>
      <c r="M484">
        <v>13.591265318101</v>
      </c>
      <c r="N484">
        <v>70.969410253522597</v>
      </c>
      <c r="O484">
        <v>47.260437612085703</v>
      </c>
      <c r="P484">
        <v>37.899239999999999</v>
      </c>
      <c r="Q484">
        <v>27.516369999999998</v>
      </c>
      <c r="R484">
        <v>6241543682.7828102</v>
      </c>
      <c r="S484">
        <v>1.8136000000000001</v>
      </c>
      <c r="T484">
        <v>90014459631.406204</v>
      </c>
    </row>
    <row r="485" spans="1:20" x14ac:dyDescent="0.2">
      <c r="A485" t="s">
        <v>118</v>
      </c>
      <c r="B485" t="s">
        <v>46</v>
      </c>
      <c r="C485">
        <v>2025</v>
      </c>
      <c r="D485">
        <v>127475134980.817</v>
      </c>
      <c r="E485">
        <v>40244753846.821404</v>
      </c>
      <c r="F485">
        <v>56772783364.121399</v>
      </c>
      <c r="G485">
        <v>1406809962.4084401</v>
      </c>
      <c r="H485">
        <v>45145702044.929001</v>
      </c>
      <c r="I485">
        <v>5.6586313233143404</v>
      </c>
      <c r="J485">
        <v>64577647880.183701</v>
      </c>
      <c r="K485">
        <v>3275598647.21104</v>
      </c>
      <c r="L485">
        <v>10.8675461802854</v>
      </c>
      <c r="M485">
        <v>13.687677281120299</v>
      </c>
      <c r="N485">
        <v>68.664519162660795</v>
      </c>
      <c r="O485">
        <v>13.772631685429801</v>
      </c>
      <c r="P485">
        <v>39.411250000000003</v>
      </c>
      <c r="Q485">
        <v>27.576450000000001</v>
      </c>
      <c r="R485">
        <v>6380222197.7565498</v>
      </c>
      <c r="S485">
        <v>2.0895000000000001</v>
      </c>
      <c r="T485">
        <v>101945952836.16</v>
      </c>
    </row>
    <row r="486" spans="1:20" x14ac:dyDescent="0.2">
      <c r="A486" t="s">
        <v>120</v>
      </c>
      <c r="B486" t="s">
        <v>47</v>
      </c>
      <c r="C486">
        <v>2004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</row>
    <row r="487" spans="1:20" x14ac:dyDescent="0.2">
      <c r="A487" t="s">
        <v>120</v>
      </c>
      <c r="B487" t="s">
        <v>47</v>
      </c>
      <c r="C487">
        <v>2005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</row>
    <row r="488" spans="1:20" x14ac:dyDescent="0.2">
      <c r="A488" t="s">
        <v>120</v>
      </c>
      <c r="B488" t="s">
        <v>47</v>
      </c>
      <c r="C488">
        <v>2006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</row>
    <row r="489" spans="1:20" x14ac:dyDescent="0.2">
      <c r="A489" t="s">
        <v>120</v>
      </c>
      <c r="B489" t="s">
        <v>47</v>
      </c>
      <c r="C489">
        <v>2007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</row>
    <row r="490" spans="1:20" x14ac:dyDescent="0.2">
      <c r="A490" t="s">
        <v>120</v>
      </c>
      <c r="B490" t="s">
        <v>47</v>
      </c>
      <c r="C490">
        <v>2008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</row>
    <row r="491" spans="1:20" x14ac:dyDescent="0.2">
      <c r="A491" t="s">
        <v>120</v>
      </c>
      <c r="B491" t="s">
        <v>47</v>
      </c>
      <c r="C491">
        <v>2009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</row>
    <row r="492" spans="1:20" x14ac:dyDescent="0.2">
      <c r="A492" t="s">
        <v>120</v>
      </c>
      <c r="B492" t="s">
        <v>47</v>
      </c>
      <c r="C492">
        <v>2010</v>
      </c>
      <c r="D492">
        <v>16204126280.139299</v>
      </c>
      <c r="E492" t="s">
        <v>18</v>
      </c>
      <c r="F492">
        <v>4732252221.60217</v>
      </c>
      <c r="G492">
        <v>604737906.74851298</v>
      </c>
      <c r="H492">
        <v>4922047714.8959904</v>
      </c>
      <c r="I492" t="s">
        <v>18</v>
      </c>
      <c r="J492" t="s">
        <v>18</v>
      </c>
      <c r="K492">
        <v>152888119.92055801</v>
      </c>
      <c r="L492" t="s">
        <v>18</v>
      </c>
      <c r="M492" t="s">
        <v>18</v>
      </c>
      <c r="N492" t="s">
        <v>18</v>
      </c>
      <c r="O492" t="s">
        <v>18</v>
      </c>
      <c r="P492">
        <v>16.712679999999999</v>
      </c>
      <c r="Q492">
        <v>7.6265700000000001</v>
      </c>
      <c r="R492" t="s">
        <v>18</v>
      </c>
      <c r="S492">
        <v>2.7059000000000002</v>
      </c>
      <c r="T492">
        <v>10755167564.031</v>
      </c>
    </row>
    <row r="493" spans="1:20" x14ac:dyDescent="0.2">
      <c r="A493" t="s">
        <v>120</v>
      </c>
      <c r="B493" t="s">
        <v>47</v>
      </c>
      <c r="C493">
        <v>2011</v>
      </c>
      <c r="D493">
        <v>18431612769.738998</v>
      </c>
      <c r="E493" t="s">
        <v>18</v>
      </c>
      <c r="F493">
        <v>5086781022.2254105</v>
      </c>
      <c r="G493">
        <v>489043876.34196299</v>
      </c>
      <c r="H493">
        <v>5328618855.6963797</v>
      </c>
      <c r="I493" t="s">
        <v>18</v>
      </c>
      <c r="J493" t="s">
        <v>18</v>
      </c>
      <c r="K493">
        <v>599667648.49314296</v>
      </c>
      <c r="L493" t="s">
        <v>18</v>
      </c>
      <c r="M493" t="s">
        <v>18</v>
      </c>
      <c r="N493" t="s">
        <v>18</v>
      </c>
      <c r="O493" t="s">
        <v>18</v>
      </c>
      <c r="P493">
        <v>25.51559</v>
      </c>
      <c r="Q493">
        <v>14.498699999999999</v>
      </c>
      <c r="R493" t="s">
        <v>18</v>
      </c>
      <c r="S493">
        <v>4.5801999999999996</v>
      </c>
      <c r="T493">
        <v>11972583219.632999</v>
      </c>
    </row>
    <row r="494" spans="1:20" x14ac:dyDescent="0.2">
      <c r="A494" t="s">
        <v>120</v>
      </c>
      <c r="B494" t="s">
        <v>47</v>
      </c>
      <c r="C494">
        <v>2012</v>
      </c>
      <c r="D494">
        <v>20724602559.637798</v>
      </c>
      <c r="E494" t="s">
        <v>18</v>
      </c>
      <c r="F494">
        <v>5410997301.0621595</v>
      </c>
      <c r="G494">
        <v>315026118.75326502</v>
      </c>
      <c r="H494">
        <v>5414091067.3863802</v>
      </c>
      <c r="I494" t="s">
        <v>18</v>
      </c>
      <c r="J494" t="s">
        <v>18</v>
      </c>
      <c r="K494">
        <v>570636451.26986504</v>
      </c>
      <c r="L494" t="s">
        <v>18</v>
      </c>
      <c r="M494" t="s">
        <v>18</v>
      </c>
      <c r="N494" t="s">
        <v>18</v>
      </c>
      <c r="O494" t="s">
        <v>18</v>
      </c>
      <c r="P494">
        <v>26.760439999999999</v>
      </c>
      <c r="Q494">
        <v>13.635199999999999</v>
      </c>
      <c r="R494" t="s">
        <v>18</v>
      </c>
      <c r="S494">
        <v>6.3066000000000004</v>
      </c>
      <c r="T494">
        <v>13177695890.6495</v>
      </c>
    </row>
    <row r="495" spans="1:20" x14ac:dyDescent="0.2">
      <c r="A495" t="s">
        <v>120</v>
      </c>
      <c r="B495" t="s">
        <v>47</v>
      </c>
      <c r="C495">
        <v>2013</v>
      </c>
      <c r="D495">
        <v>21121896744.054401</v>
      </c>
      <c r="E495" t="s">
        <v>18</v>
      </c>
      <c r="F495">
        <v>7073982587.7689695</v>
      </c>
      <c r="G495">
        <v>449424886.749717</v>
      </c>
      <c r="H495">
        <v>4482312485.8437204</v>
      </c>
      <c r="I495" t="s">
        <v>18</v>
      </c>
      <c r="J495" t="s">
        <v>18</v>
      </c>
      <c r="K495">
        <v>-688850858.21299005</v>
      </c>
      <c r="L495" t="s">
        <v>18</v>
      </c>
      <c r="M495" t="s">
        <v>18</v>
      </c>
      <c r="N495" t="s">
        <v>18</v>
      </c>
      <c r="O495" t="s">
        <v>18</v>
      </c>
      <c r="P495">
        <v>6.3179499999999997</v>
      </c>
      <c r="Q495">
        <v>-7.6085599999999998</v>
      </c>
      <c r="R495" t="s">
        <v>18</v>
      </c>
      <c r="S495">
        <v>10.091100000000001</v>
      </c>
      <c r="T495">
        <v>13781960843.7146</v>
      </c>
    </row>
    <row r="496" spans="1:20" x14ac:dyDescent="0.2">
      <c r="A496" t="s">
        <v>120</v>
      </c>
      <c r="B496" t="s">
        <v>47</v>
      </c>
      <c r="C496">
        <v>2014</v>
      </c>
      <c r="D496">
        <v>19531570321.772099</v>
      </c>
      <c r="E496" t="s">
        <v>18</v>
      </c>
      <c r="F496">
        <v>6188554833.9537802</v>
      </c>
      <c r="G496">
        <v>388024908.77593899</v>
      </c>
      <c r="H496">
        <v>4236765408.5732198</v>
      </c>
      <c r="I496" t="s">
        <v>18</v>
      </c>
      <c r="J496" t="s">
        <v>18</v>
      </c>
      <c r="K496">
        <v>-213397073.41685799</v>
      </c>
      <c r="L496" t="s">
        <v>18</v>
      </c>
      <c r="M496" t="s">
        <v>18</v>
      </c>
      <c r="N496" t="s">
        <v>18</v>
      </c>
      <c r="O496" t="s">
        <v>18</v>
      </c>
      <c r="P496">
        <v>20.167870000000001</v>
      </c>
      <c r="Q496">
        <v>9.1497100000000007</v>
      </c>
      <c r="R496" t="s">
        <v>18</v>
      </c>
      <c r="S496">
        <v>13.5786</v>
      </c>
      <c r="T496">
        <v>13099393767.2773</v>
      </c>
    </row>
    <row r="497" spans="1:20" x14ac:dyDescent="0.2">
      <c r="A497" t="s">
        <v>120</v>
      </c>
      <c r="B497" t="s">
        <v>47</v>
      </c>
      <c r="C497">
        <v>2015</v>
      </c>
      <c r="D497">
        <v>20135247550.652302</v>
      </c>
      <c r="E497" t="s">
        <v>18</v>
      </c>
      <c r="F497">
        <v>4842887394.9989405</v>
      </c>
      <c r="G497">
        <v>810438542.90217197</v>
      </c>
      <c r="H497">
        <v>5605645181.7310305</v>
      </c>
      <c r="I497" t="s">
        <v>18</v>
      </c>
      <c r="J497" t="s">
        <v>18</v>
      </c>
      <c r="K497">
        <v>-309940604.50931197</v>
      </c>
      <c r="L497" t="s">
        <v>18</v>
      </c>
      <c r="M497">
        <v>-1.59897048404404</v>
      </c>
      <c r="N497" t="s">
        <v>18</v>
      </c>
      <c r="O497" t="s">
        <v>18</v>
      </c>
      <c r="P497">
        <v>25.834969999999998</v>
      </c>
      <c r="Q497">
        <v>12.968299999999999</v>
      </c>
      <c r="R497" t="s">
        <v>18</v>
      </c>
      <c r="S497">
        <v>11.0206</v>
      </c>
      <c r="T497">
        <v>13107507027.15</v>
      </c>
    </row>
    <row r="498" spans="1:20" x14ac:dyDescent="0.2">
      <c r="A498" t="s">
        <v>120</v>
      </c>
      <c r="B498" t="s">
        <v>47</v>
      </c>
      <c r="C498">
        <v>2016</v>
      </c>
      <c r="D498">
        <v>19758997667.277901</v>
      </c>
      <c r="E498">
        <v>3248382046.7972798</v>
      </c>
      <c r="F498">
        <v>4877674671.8472605</v>
      </c>
      <c r="G498">
        <v>492712007.04327798</v>
      </c>
      <c r="H498">
        <v>4300007698.1285801</v>
      </c>
      <c r="I498">
        <v>1.0103674236332001</v>
      </c>
      <c r="J498">
        <v>13027048773.718901</v>
      </c>
      <c r="K498">
        <v>248605384.04384601</v>
      </c>
      <c r="L498">
        <v>1.9973048430164799</v>
      </c>
      <c r="M498">
        <v>-3.4671580202961398</v>
      </c>
      <c r="N498" t="s">
        <v>18</v>
      </c>
      <c r="O498" t="s">
        <v>18</v>
      </c>
      <c r="P498">
        <v>17.464169999999999</v>
      </c>
      <c r="Q498">
        <v>4.4207599999999996</v>
      </c>
      <c r="R498">
        <v>2028539813.0156901</v>
      </c>
      <c r="S498">
        <v>16.655899999999999</v>
      </c>
      <c r="T498">
        <v>11810214349.952</v>
      </c>
    </row>
    <row r="499" spans="1:20" x14ac:dyDescent="0.2">
      <c r="A499" t="s">
        <v>120</v>
      </c>
      <c r="B499" t="s">
        <v>47</v>
      </c>
      <c r="C499">
        <v>2017</v>
      </c>
      <c r="D499">
        <v>18379390243.211899</v>
      </c>
      <c r="E499">
        <v>1934695571.5692599</v>
      </c>
      <c r="F499">
        <v>3256444066.9328098</v>
      </c>
      <c r="G499">
        <v>356575440.980775</v>
      </c>
      <c r="H499">
        <v>5265951357.6262102</v>
      </c>
      <c r="I499">
        <v>0.68290662197791896</v>
      </c>
      <c r="J499">
        <v>20215920878.476101</v>
      </c>
      <c r="K499">
        <v>1406149632.39077</v>
      </c>
      <c r="L499">
        <v>3.3896178470645899</v>
      </c>
      <c r="M499">
        <v>-3.4460928399833501</v>
      </c>
      <c r="N499">
        <v>66.668263056022695</v>
      </c>
      <c r="O499">
        <v>17.789107870461901</v>
      </c>
      <c r="P499">
        <v>28.13758</v>
      </c>
      <c r="Q499">
        <v>15.231820000000001</v>
      </c>
      <c r="R499">
        <v>1952438451.7239399</v>
      </c>
      <c r="S499">
        <v>48.555900000000001</v>
      </c>
      <c r="T499">
        <v>10999302018.7435</v>
      </c>
    </row>
    <row r="500" spans="1:20" x14ac:dyDescent="0.2">
      <c r="A500" t="s">
        <v>120</v>
      </c>
      <c r="B500" t="s">
        <v>47</v>
      </c>
      <c r="C500">
        <v>2018</v>
      </c>
      <c r="D500">
        <v>19687202142.131802</v>
      </c>
      <c r="E500">
        <v>2852635946.9479198</v>
      </c>
      <c r="F500">
        <v>3982022527.0385699</v>
      </c>
      <c r="G500">
        <v>522811771.24804598</v>
      </c>
      <c r="H500">
        <v>7361958303.3800201</v>
      </c>
      <c r="I500">
        <v>0.61557767578948397</v>
      </c>
      <c r="J500">
        <v>24168342139.9734</v>
      </c>
      <c r="K500">
        <v>1791187665.8531699</v>
      </c>
      <c r="L500">
        <v>-2.1350805744310302</v>
      </c>
      <c r="M500">
        <v>1.2335436054492701</v>
      </c>
      <c r="N500">
        <v>72.579197858106397</v>
      </c>
      <c r="O500">
        <v>-1.6404879020001</v>
      </c>
      <c r="P500">
        <v>27.061250000000001</v>
      </c>
      <c r="Q500">
        <v>16.53687</v>
      </c>
      <c r="R500">
        <v>2989462473.59551</v>
      </c>
      <c r="S500">
        <v>47.134900000000002</v>
      </c>
      <c r="T500">
        <v>13634355914.6371</v>
      </c>
    </row>
    <row r="501" spans="1:20" x14ac:dyDescent="0.2">
      <c r="A501" t="s">
        <v>120</v>
      </c>
      <c r="B501" t="s">
        <v>47</v>
      </c>
      <c r="C501">
        <v>2019</v>
      </c>
      <c r="D501">
        <v>23379273196.4305</v>
      </c>
      <c r="E501">
        <v>3164382384.7253399</v>
      </c>
      <c r="F501">
        <v>3655509902.1610599</v>
      </c>
      <c r="G501">
        <v>356631846.03806001</v>
      </c>
      <c r="H501">
        <v>9171987184.1737404</v>
      </c>
      <c r="I501">
        <v>1.3854635528041901</v>
      </c>
      <c r="J501">
        <v>35176779376.824799</v>
      </c>
      <c r="K501">
        <v>2451198561.8271098</v>
      </c>
      <c r="L501">
        <v>-6.8733757147758396</v>
      </c>
      <c r="M501">
        <v>-6.9766135098969899</v>
      </c>
      <c r="N501">
        <v>73.213458919667005</v>
      </c>
      <c r="O501">
        <v>54.127585906460297</v>
      </c>
      <c r="P501">
        <v>17.878710000000002</v>
      </c>
      <c r="Q501">
        <v>10.76139</v>
      </c>
      <c r="R501">
        <v>1321107724.6856301</v>
      </c>
      <c r="S501">
        <v>47.886099999999999</v>
      </c>
      <c r="T501">
        <v>15054202945.9198</v>
      </c>
    </row>
    <row r="502" spans="1:20" x14ac:dyDescent="0.2">
      <c r="A502" t="s">
        <v>120</v>
      </c>
      <c r="B502" t="s">
        <v>47</v>
      </c>
      <c r="C502">
        <v>2020</v>
      </c>
      <c r="D502">
        <v>25824480876.613602</v>
      </c>
      <c r="E502">
        <v>3186092589.9526</v>
      </c>
      <c r="F502">
        <v>5646946010.2071505</v>
      </c>
      <c r="G502">
        <v>864877745.42179501</v>
      </c>
      <c r="H502">
        <v>9785879453.6175308</v>
      </c>
      <c r="I502">
        <v>1.3125088562387299</v>
      </c>
      <c r="J502">
        <v>63204483561.618401</v>
      </c>
      <c r="K502">
        <v>976694096.06782603</v>
      </c>
      <c r="L502">
        <v>2.6126197890435301</v>
      </c>
      <c r="M502">
        <v>8.9354219362872502</v>
      </c>
      <c r="N502">
        <v>73.454378213531598</v>
      </c>
      <c r="O502">
        <v>30.993705746091202</v>
      </c>
      <c r="P502">
        <v>26.382850000000001</v>
      </c>
      <c r="Q502">
        <v>16.632570000000001</v>
      </c>
      <c r="R502">
        <v>1378104422.0695801</v>
      </c>
      <c r="S502">
        <v>59.759399999999999</v>
      </c>
      <c r="T502">
        <v>17639542485.740002</v>
      </c>
    </row>
    <row r="503" spans="1:20" x14ac:dyDescent="0.2">
      <c r="A503" t="s">
        <v>120</v>
      </c>
      <c r="B503" t="s">
        <v>47</v>
      </c>
      <c r="C503">
        <v>2021</v>
      </c>
      <c r="D503">
        <v>26438434311.601299</v>
      </c>
      <c r="E503">
        <v>4055275463.7811098</v>
      </c>
      <c r="F503">
        <v>5620480598.7788095</v>
      </c>
      <c r="G503">
        <v>731388221.39058495</v>
      </c>
      <c r="H503">
        <v>10936686494.649099</v>
      </c>
      <c r="I503">
        <v>1.3910617414072</v>
      </c>
      <c r="J503">
        <v>48248973458.718498</v>
      </c>
      <c r="K503">
        <v>2086281212.68468</v>
      </c>
      <c r="L503">
        <v>0.59399218014111499</v>
      </c>
      <c r="M503">
        <v>16.155315159326801</v>
      </c>
      <c r="N503">
        <v>75.048056832695707</v>
      </c>
      <c r="O503">
        <v>28.0545713650469</v>
      </c>
      <c r="P503">
        <v>31.349329999999998</v>
      </c>
      <c r="Q503">
        <v>16.21902</v>
      </c>
      <c r="R503">
        <v>2023033821.8032601</v>
      </c>
      <c r="S503">
        <v>65.111500000000007</v>
      </c>
      <c r="T503">
        <v>18701201693.9137</v>
      </c>
    </row>
    <row r="504" spans="1:20" x14ac:dyDescent="0.2">
      <c r="A504" t="s">
        <v>120</v>
      </c>
      <c r="B504" t="s">
        <v>47</v>
      </c>
      <c r="C504">
        <v>2022</v>
      </c>
      <c r="D504">
        <v>36365242580.842499</v>
      </c>
      <c r="E504">
        <v>6663226112.5704002</v>
      </c>
      <c r="F504">
        <v>7871548172.1580896</v>
      </c>
      <c r="G504">
        <v>1159878883.8773799</v>
      </c>
      <c r="H504">
        <v>8617319091.8125496</v>
      </c>
      <c r="I504">
        <v>1.3756287306653201</v>
      </c>
      <c r="J504">
        <v>37520923089.151398</v>
      </c>
      <c r="K504">
        <v>1464241829.56147</v>
      </c>
      <c r="L504">
        <v>-18.603995214997301</v>
      </c>
      <c r="M504">
        <v>18.204769553491101</v>
      </c>
      <c r="N504">
        <v>70.990942268138397</v>
      </c>
      <c r="O504">
        <v>12.8209980715855</v>
      </c>
      <c r="P504">
        <v>20.857959999999999</v>
      </c>
      <c r="Q504">
        <v>10.675520000000001</v>
      </c>
      <c r="R504">
        <v>2966564924.5272398</v>
      </c>
      <c r="S504">
        <v>60.087000000000003</v>
      </c>
      <c r="T504">
        <v>19321989792.8293</v>
      </c>
    </row>
    <row r="505" spans="1:20" x14ac:dyDescent="0.2">
      <c r="A505" t="s">
        <v>120</v>
      </c>
      <c r="B505" t="s">
        <v>47</v>
      </c>
      <c r="C505">
        <v>2023</v>
      </c>
      <c r="D505">
        <v>42255212518.174103</v>
      </c>
      <c r="E505">
        <v>7395045867.4446096</v>
      </c>
      <c r="F505">
        <v>9623780615.2561607</v>
      </c>
      <c r="G505">
        <v>1843727352.5558901</v>
      </c>
      <c r="H505">
        <v>9650144557.8476105</v>
      </c>
      <c r="I505">
        <v>2.7217346776784601</v>
      </c>
      <c r="J505">
        <v>18407474013.387299</v>
      </c>
      <c r="K505">
        <v>2016350443.3933301</v>
      </c>
      <c r="L505">
        <v>1.3149563104500399</v>
      </c>
      <c r="M505">
        <v>13.409718489372599</v>
      </c>
      <c r="N505">
        <v>66.318426712622795</v>
      </c>
      <c r="O505">
        <v>15.3312378040116</v>
      </c>
      <c r="P505">
        <v>23.12069</v>
      </c>
      <c r="Q505">
        <v>13.89217</v>
      </c>
      <c r="R505">
        <v>-1340195945.5302899</v>
      </c>
      <c r="S505">
        <v>62.223999999999997</v>
      </c>
      <c r="T505">
        <v>22473781450.185001</v>
      </c>
    </row>
    <row r="506" spans="1:20" x14ac:dyDescent="0.2">
      <c r="A506" t="s">
        <v>120</v>
      </c>
      <c r="B506" t="s">
        <v>47</v>
      </c>
      <c r="C506">
        <v>2024</v>
      </c>
      <c r="D506">
        <v>37716645003.1092</v>
      </c>
      <c r="E506">
        <v>8849583515.6441193</v>
      </c>
      <c r="F506">
        <v>11812075742.500999</v>
      </c>
      <c r="G506">
        <v>1296502964.08161</v>
      </c>
      <c r="H506">
        <v>7617759862.0117903</v>
      </c>
      <c r="I506">
        <v>1.92483178664662</v>
      </c>
      <c r="J506">
        <v>22088778208.8853</v>
      </c>
      <c r="K506">
        <v>-2709501851.5554099</v>
      </c>
      <c r="L506">
        <v>9.4455000529094697</v>
      </c>
      <c r="M506">
        <v>21.121803584513401</v>
      </c>
      <c r="N506">
        <v>69.790267576123398</v>
      </c>
      <c r="O506">
        <v>-4.1516919230657203</v>
      </c>
      <c r="P506">
        <v>29.219609999999999</v>
      </c>
      <c r="Q506">
        <v>16.863289999999999</v>
      </c>
      <c r="R506">
        <v>2294238333.9832802</v>
      </c>
      <c r="S506">
        <v>74.868799999999993</v>
      </c>
      <c r="T506">
        <v>22248361139.735298</v>
      </c>
    </row>
    <row r="507" spans="1:20" x14ac:dyDescent="0.2">
      <c r="A507" t="s">
        <v>120</v>
      </c>
      <c r="B507" t="s">
        <v>47</v>
      </c>
      <c r="C507">
        <v>2025</v>
      </c>
      <c r="D507">
        <v>40070728027.547096</v>
      </c>
      <c r="E507">
        <v>4922096816.0957003</v>
      </c>
      <c r="F507">
        <v>12957613812.446199</v>
      </c>
      <c r="G507">
        <v>3058956027.3249798</v>
      </c>
      <c r="H507">
        <v>8333438976.9792604</v>
      </c>
      <c r="I507">
        <v>0.95806910021495595</v>
      </c>
      <c r="J507">
        <v>24174665075.968201</v>
      </c>
      <c r="K507">
        <v>2145644.3287932002</v>
      </c>
      <c r="L507">
        <v>21.417978463392</v>
      </c>
      <c r="M507">
        <v>13.7019809009185</v>
      </c>
      <c r="N507">
        <v>63.056959494039397</v>
      </c>
      <c r="O507">
        <v>9.9500918688771094</v>
      </c>
      <c r="P507">
        <v>34.076639999999998</v>
      </c>
      <c r="Q507">
        <v>19.682120000000001</v>
      </c>
      <c r="R507">
        <v>1757393032.4939401</v>
      </c>
      <c r="S507">
        <v>69.964500000000001</v>
      </c>
      <c r="T507">
        <v>25494921246.2859</v>
      </c>
    </row>
    <row r="508" spans="1:20" x14ac:dyDescent="0.2">
      <c r="A508" t="s">
        <v>121</v>
      </c>
      <c r="B508" t="s">
        <v>48</v>
      </c>
      <c r="C508">
        <v>2004</v>
      </c>
      <c r="D508" t="s">
        <v>18</v>
      </c>
      <c r="E508" t="s">
        <v>18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</row>
    <row r="509" spans="1:20" x14ac:dyDescent="0.2">
      <c r="A509" t="s">
        <v>121</v>
      </c>
      <c r="B509" t="s">
        <v>48</v>
      </c>
      <c r="C509">
        <v>2005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</row>
    <row r="510" spans="1:20" x14ac:dyDescent="0.2">
      <c r="A510" t="s">
        <v>121</v>
      </c>
      <c r="B510" t="s">
        <v>48</v>
      </c>
      <c r="C510">
        <v>2006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</row>
    <row r="511" spans="1:20" x14ac:dyDescent="0.2">
      <c r="A511" t="s">
        <v>121</v>
      </c>
      <c r="B511" t="s">
        <v>48</v>
      </c>
      <c r="C511">
        <v>2007</v>
      </c>
      <c r="D511">
        <v>2968333000</v>
      </c>
      <c r="E511">
        <v>774911600</v>
      </c>
      <c r="F511">
        <v>1354069000</v>
      </c>
      <c r="G511" t="s">
        <v>18</v>
      </c>
      <c r="H511">
        <v>151218000</v>
      </c>
      <c r="I511" t="s">
        <v>18</v>
      </c>
      <c r="J511">
        <v>3086999035.3850799</v>
      </c>
      <c r="K511">
        <v>91162000</v>
      </c>
      <c r="L511" t="s">
        <v>18</v>
      </c>
      <c r="M511" t="s">
        <v>18</v>
      </c>
      <c r="N511" t="s">
        <v>18</v>
      </c>
      <c r="O511" t="s">
        <v>18</v>
      </c>
      <c r="P511">
        <v>19.374590000000001</v>
      </c>
      <c r="Q511">
        <v>17.118099999999998</v>
      </c>
      <c r="R511">
        <v>475866670</v>
      </c>
      <c r="S511" t="s">
        <v>18</v>
      </c>
      <c r="T511">
        <v>1524442000</v>
      </c>
    </row>
    <row r="512" spans="1:20" x14ac:dyDescent="0.2">
      <c r="A512" t="s">
        <v>121</v>
      </c>
      <c r="B512" t="s">
        <v>48</v>
      </c>
      <c r="C512">
        <v>2008</v>
      </c>
      <c r="D512">
        <v>2985675000</v>
      </c>
      <c r="E512">
        <v>600799110</v>
      </c>
      <c r="F512">
        <v>1051583000</v>
      </c>
      <c r="G512" t="s">
        <v>18</v>
      </c>
      <c r="H512">
        <v>432644000</v>
      </c>
      <c r="I512" t="s">
        <v>18</v>
      </c>
      <c r="J512">
        <v>1462424086.54111</v>
      </c>
      <c r="K512">
        <v>302000000</v>
      </c>
      <c r="L512" t="s">
        <v>18</v>
      </c>
      <c r="M512" t="s">
        <v>18</v>
      </c>
      <c r="N512">
        <v>39.478810787595599</v>
      </c>
      <c r="O512" t="s">
        <v>18</v>
      </c>
      <c r="P512">
        <v>21.071000000000002</v>
      </c>
      <c r="Q512">
        <v>19.79289</v>
      </c>
      <c r="R512">
        <v>482692500</v>
      </c>
      <c r="S512" t="s">
        <v>18</v>
      </c>
      <c r="T512">
        <v>1505420000</v>
      </c>
    </row>
    <row r="513" spans="1:20" x14ac:dyDescent="0.2">
      <c r="A513" t="s">
        <v>121</v>
      </c>
      <c r="B513" t="s">
        <v>48</v>
      </c>
      <c r="C513">
        <v>2009</v>
      </c>
      <c r="D513">
        <v>3098000000</v>
      </c>
      <c r="E513">
        <v>537826000</v>
      </c>
      <c r="F513">
        <v>1158000000</v>
      </c>
      <c r="G513" t="s">
        <v>18</v>
      </c>
      <c r="H513">
        <v>447000000</v>
      </c>
      <c r="I513" t="s">
        <v>18</v>
      </c>
      <c r="J513">
        <v>2120449304.3340399</v>
      </c>
      <c r="K513">
        <v>235000000</v>
      </c>
      <c r="L513" t="s">
        <v>18</v>
      </c>
      <c r="M513" t="s">
        <v>18</v>
      </c>
      <c r="N513">
        <v>39.303865628575998</v>
      </c>
      <c r="O513" t="s">
        <v>18</v>
      </c>
      <c r="P513">
        <v>21.20918</v>
      </c>
      <c r="Q513">
        <v>19.848369999999999</v>
      </c>
      <c r="R513">
        <v>341670830</v>
      </c>
      <c r="S513">
        <v>2.6827000000000001</v>
      </c>
      <c r="T513">
        <v>1621000000</v>
      </c>
    </row>
    <row r="514" spans="1:20" x14ac:dyDescent="0.2">
      <c r="A514" t="s">
        <v>121</v>
      </c>
      <c r="B514" t="s">
        <v>48</v>
      </c>
      <c r="C514">
        <v>2010</v>
      </c>
      <c r="D514">
        <v>3044000000</v>
      </c>
      <c r="E514">
        <v>529217250</v>
      </c>
      <c r="F514">
        <v>1036000000</v>
      </c>
      <c r="G514">
        <v>3000000</v>
      </c>
      <c r="H514">
        <v>677000000</v>
      </c>
      <c r="I514" t="s">
        <v>18</v>
      </c>
      <c r="J514">
        <v>2260803212.7459698</v>
      </c>
      <c r="K514">
        <v>252000000</v>
      </c>
      <c r="L514" t="s">
        <v>18</v>
      </c>
      <c r="M514" t="s">
        <v>18</v>
      </c>
      <c r="N514">
        <v>48.853811212214097</v>
      </c>
      <c r="O514" t="s">
        <v>18</v>
      </c>
      <c r="P514">
        <v>37.898690000000002</v>
      </c>
      <c r="Q514">
        <v>35.245240000000003</v>
      </c>
      <c r="R514">
        <v>305679350</v>
      </c>
      <c r="S514">
        <v>4.4492000000000003</v>
      </c>
      <c r="T514">
        <v>1734000000</v>
      </c>
    </row>
    <row r="515" spans="1:20" x14ac:dyDescent="0.2">
      <c r="A515" t="s">
        <v>121</v>
      </c>
      <c r="B515" t="s">
        <v>48</v>
      </c>
      <c r="C515">
        <v>2011</v>
      </c>
      <c r="D515">
        <v>3765000000</v>
      </c>
      <c r="E515">
        <v>1282315060</v>
      </c>
      <c r="F515">
        <v>1312000000</v>
      </c>
      <c r="G515">
        <v>10000000</v>
      </c>
      <c r="H515">
        <v>756000000</v>
      </c>
      <c r="I515" t="s">
        <v>18</v>
      </c>
      <c r="J515">
        <v>2169661506.62498</v>
      </c>
      <c r="K515">
        <v>150000000</v>
      </c>
      <c r="L515" t="s">
        <v>18</v>
      </c>
      <c r="M515" t="s">
        <v>18</v>
      </c>
      <c r="N515">
        <v>44.132010381511797</v>
      </c>
      <c r="O515" t="s">
        <v>18</v>
      </c>
      <c r="P515">
        <v>9.0352200000000007</v>
      </c>
      <c r="Q515">
        <v>6.8693900000000001</v>
      </c>
      <c r="R515">
        <v>413774300</v>
      </c>
      <c r="S515">
        <v>5.4036</v>
      </c>
      <c r="T515">
        <v>2111000000</v>
      </c>
    </row>
    <row r="516" spans="1:20" x14ac:dyDescent="0.2">
      <c r="A516" t="s">
        <v>121</v>
      </c>
      <c r="B516" t="s">
        <v>48</v>
      </c>
      <c r="C516">
        <v>2012</v>
      </c>
      <c r="D516">
        <v>5883000000</v>
      </c>
      <c r="E516">
        <v>1061829820</v>
      </c>
      <c r="F516">
        <v>1862000000</v>
      </c>
      <c r="G516">
        <v>10000000</v>
      </c>
      <c r="H516">
        <v>1042000000</v>
      </c>
      <c r="I516" t="s">
        <v>18</v>
      </c>
      <c r="J516">
        <v>3118956810.9415998</v>
      </c>
      <c r="K516">
        <v>-145000000</v>
      </c>
      <c r="L516" t="s">
        <v>18</v>
      </c>
      <c r="M516">
        <v>13.236338131677201</v>
      </c>
      <c r="N516">
        <v>49.408472834508402</v>
      </c>
      <c r="O516" t="s">
        <v>18</v>
      </c>
      <c r="P516">
        <v>7.71462</v>
      </c>
      <c r="Q516">
        <v>5.3408899999999999</v>
      </c>
      <c r="R516">
        <v>443036110</v>
      </c>
      <c r="S516">
        <v>6.6200999999999999</v>
      </c>
      <c r="T516">
        <v>2966000000</v>
      </c>
    </row>
    <row r="517" spans="1:20" x14ac:dyDescent="0.2">
      <c r="A517" t="s">
        <v>121</v>
      </c>
      <c r="B517" t="s">
        <v>48</v>
      </c>
      <c r="C517">
        <v>2013</v>
      </c>
      <c r="D517">
        <v>5859000000</v>
      </c>
      <c r="E517">
        <v>928389000</v>
      </c>
      <c r="F517">
        <v>1739000000</v>
      </c>
      <c r="G517">
        <v>787000000</v>
      </c>
      <c r="H517">
        <v>1112000000</v>
      </c>
      <c r="I517" t="s">
        <v>18</v>
      </c>
      <c r="J517">
        <v>4124451446.8049998</v>
      </c>
      <c r="K517">
        <v>169000000</v>
      </c>
      <c r="L517" t="s">
        <v>18</v>
      </c>
      <c r="M517">
        <v>11.282610046619601</v>
      </c>
      <c r="N517">
        <v>57.762447841204498</v>
      </c>
      <c r="O517" t="s">
        <v>18</v>
      </c>
      <c r="P517">
        <v>8.3333300000000001</v>
      </c>
      <c r="Q517">
        <v>5.9378200000000003</v>
      </c>
      <c r="R517">
        <v>444751670</v>
      </c>
      <c r="S517">
        <v>8.1295000000000002</v>
      </c>
      <c r="T517">
        <v>2886000000</v>
      </c>
    </row>
    <row r="518" spans="1:20" x14ac:dyDescent="0.2">
      <c r="A518" t="s">
        <v>121</v>
      </c>
      <c r="B518" t="s">
        <v>48</v>
      </c>
      <c r="C518">
        <v>2014</v>
      </c>
      <c r="D518">
        <v>5529000000</v>
      </c>
      <c r="E518">
        <v>944418580</v>
      </c>
      <c r="F518">
        <v>1411000000</v>
      </c>
      <c r="G518">
        <v>0</v>
      </c>
      <c r="H518">
        <v>1147000000</v>
      </c>
      <c r="I518">
        <v>1.73630509659473</v>
      </c>
      <c r="J518">
        <v>3091326746.3881102</v>
      </c>
      <c r="K518">
        <v>153000000</v>
      </c>
      <c r="L518">
        <v>3.7181635513492699</v>
      </c>
      <c r="M518">
        <v>-0.52267671471835098</v>
      </c>
      <c r="N518">
        <v>60.266492756272399</v>
      </c>
      <c r="O518">
        <v>35.271291262135897</v>
      </c>
      <c r="P518">
        <v>7.6769100000000003</v>
      </c>
      <c r="Q518">
        <v>5.2037199999999997</v>
      </c>
      <c r="R518">
        <v>380976130</v>
      </c>
      <c r="S518">
        <v>8.4833999999999996</v>
      </c>
      <c r="T518">
        <v>2594000000</v>
      </c>
    </row>
    <row r="519" spans="1:20" x14ac:dyDescent="0.2">
      <c r="A519" t="s">
        <v>121</v>
      </c>
      <c r="B519" t="s">
        <v>48</v>
      </c>
      <c r="C519">
        <v>2015</v>
      </c>
      <c r="D519">
        <v>5660000000</v>
      </c>
      <c r="E519">
        <v>762898250</v>
      </c>
      <c r="F519">
        <v>1385000000</v>
      </c>
      <c r="G519">
        <v>1000000</v>
      </c>
      <c r="H519">
        <v>1150000000</v>
      </c>
      <c r="I519">
        <v>1.23024777279849</v>
      </c>
      <c r="J519">
        <v>4388597405.0936203</v>
      </c>
      <c r="K519">
        <v>115000000</v>
      </c>
      <c r="L519">
        <v>2.5309140872376701</v>
      </c>
      <c r="M519">
        <v>8.5146614141579295</v>
      </c>
      <c r="N519">
        <v>59.1424624852067</v>
      </c>
      <c r="O519">
        <v>14.3559370629371</v>
      </c>
      <c r="P519">
        <v>6.8274900000000001</v>
      </c>
      <c r="Q519">
        <v>4.7222200000000001</v>
      </c>
      <c r="R519">
        <v>455569400</v>
      </c>
      <c r="S519">
        <v>10.4123</v>
      </c>
      <c r="T519">
        <v>2568000000</v>
      </c>
    </row>
    <row r="520" spans="1:20" x14ac:dyDescent="0.2">
      <c r="A520" t="s">
        <v>121</v>
      </c>
      <c r="B520" t="s">
        <v>48</v>
      </c>
      <c r="C520">
        <v>2016</v>
      </c>
      <c r="D520">
        <v>6249000000</v>
      </c>
      <c r="E520">
        <v>682733460</v>
      </c>
      <c r="F520">
        <v>1403000000</v>
      </c>
      <c r="G520">
        <v>4000000</v>
      </c>
      <c r="H520">
        <v>1278000000</v>
      </c>
      <c r="I520">
        <v>0.95950041633491301</v>
      </c>
      <c r="J520">
        <v>4962907593.1316299</v>
      </c>
      <c r="K520">
        <v>214000000</v>
      </c>
      <c r="L520">
        <v>2.3960506435510198</v>
      </c>
      <c r="M520">
        <v>15.5377284044418</v>
      </c>
      <c r="N520">
        <v>57.455940241357197</v>
      </c>
      <c r="O520">
        <v>-0.95882843137254903</v>
      </c>
      <c r="P520">
        <v>7.6212499999999999</v>
      </c>
      <c r="Q520">
        <v>5.5427299999999997</v>
      </c>
      <c r="R520">
        <v>533286360</v>
      </c>
      <c r="S520">
        <v>0</v>
      </c>
      <c r="T520">
        <v>2910000000</v>
      </c>
    </row>
    <row r="521" spans="1:20" x14ac:dyDescent="0.2">
      <c r="A521" t="s">
        <v>121</v>
      </c>
      <c r="B521" t="s">
        <v>48</v>
      </c>
      <c r="C521">
        <v>2017</v>
      </c>
      <c r="D521">
        <v>6311000000</v>
      </c>
      <c r="E521">
        <v>620565500</v>
      </c>
      <c r="F521">
        <v>1286000000</v>
      </c>
      <c r="G521">
        <v>2000000</v>
      </c>
      <c r="H521">
        <v>1448000000</v>
      </c>
      <c r="I521">
        <v>0.85050957599168697</v>
      </c>
      <c r="J521">
        <v>6177821664.5111599</v>
      </c>
      <c r="K521">
        <v>262000000</v>
      </c>
      <c r="L521">
        <v>4.3509720117568804</v>
      </c>
      <c r="M521">
        <v>7.9423227930504297</v>
      </c>
      <c r="N521">
        <v>60.493273030759397</v>
      </c>
      <c r="O521">
        <v>5.85585585585586</v>
      </c>
      <c r="P521">
        <v>7.7705799999999998</v>
      </c>
      <c r="Q521">
        <v>5.4843400000000004</v>
      </c>
      <c r="R521">
        <v>545615000</v>
      </c>
      <c r="S521">
        <v>39.233899999999998</v>
      </c>
      <c r="T521">
        <v>2961000000</v>
      </c>
    </row>
    <row r="522" spans="1:20" x14ac:dyDescent="0.2">
      <c r="A522" t="s">
        <v>121</v>
      </c>
      <c r="B522" t="s">
        <v>48</v>
      </c>
      <c r="C522">
        <v>2018</v>
      </c>
      <c r="D522">
        <v>6728000000</v>
      </c>
      <c r="E522">
        <v>2321058130</v>
      </c>
      <c r="F522">
        <v>1836000000</v>
      </c>
      <c r="G522">
        <v>2000000</v>
      </c>
      <c r="H522">
        <v>1451000000</v>
      </c>
      <c r="I522">
        <v>3.08309780835225</v>
      </c>
      <c r="J522">
        <v>4335892457.8199997</v>
      </c>
      <c r="K522">
        <v>237000000</v>
      </c>
      <c r="L522">
        <v>13.413215753546799</v>
      </c>
      <c r="M522">
        <v>11.075405421813899</v>
      </c>
      <c r="N522">
        <v>62.365901205380403</v>
      </c>
      <c r="O522">
        <v>6.8153080168776397</v>
      </c>
      <c r="P522">
        <v>7.7682200000000003</v>
      </c>
      <c r="Q522">
        <v>5.5288500000000003</v>
      </c>
      <c r="R522">
        <v>559175500</v>
      </c>
      <c r="S522">
        <v>36.670699999999997</v>
      </c>
      <c r="T522">
        <v>3475000000</v>
      </c>
    </row>
    <row r="523" spans="1:20" x14ac:dyDescent="0.2">
      <c r="A523" t="s">
        <v>121</v>
      </c>
      <c r="B523" t="s">
        <v>48</v>
      </c>
      <c r="C523">
        <v>2019</v>
      </c>
      <c r="D523">
        <v>10199000000</v>
      </c>
      <c r="E523">
        <v>2206254000</v>
      </c>
      <c r="F523">
        <v>3259000000</v>
      </c>
      <c r="G523">
        <v>0</v>
      </c>
      <c r="H523">
        <v>2186000000</v>
      </c>
      <c r="I523">
        <v>2.2736613902588001</v>
      </c>
      <c r="J523">
        <v>5547904449.7399998</v>
      </c>
      <c r="K523">
        <v>58000000</v>
      </c>
      <c r="L523">
        <v>1.72851500743585</v>
      </c>
      <c r="M523">
        <v>20.324283239367301</v>
      </c>
      <c r="N523">
        <v>68.878184036418205</v>
      </c>
      <c r="O523">
        <v>-4.8427902621722803</v>
      </c>
      <c r="P523">
        <v>5.8782800000000002</v>
      </c>
      <c r="Q523">
        <v>3.6318700000000002</v>
      </c>
      <c r="R523">
        <v>688631580</v>
      </c>
      <c r="S523">
        <v>34.170699999999997</v>
      </c>
      <c r="T523">
        <v>5633000000</v>
      </c>
    </row>
    <row r="524" spans="1:20" x14ac:dyDescent="0.2">
      <c r="A524" t="s">
        <v>121</v>
      </c>
      <c r="B524" t="s">
        <v>48</v>
      </c>
      <c r="C524">
        <v>2020</v>
      </c>
      <c r="D524">
        <v>10486000000</v>
      </c>
      <c r="E524">
        <v>2071617270</v>
      </c>
      <c r="F524">
        <v>3244000000</v>
      </c>
      <c r="G524">
        <v>1070000000</v>
      </c>
      <c r="H524">
        <v>2415000000</v>
      </c>
      <c r="I524">
        <v>2.3812747943683901</v>
      </c>
      <c r="J524">
        <v>7258664739.2200003</v>
      </c>
      <c r="K524">
        <v>296000000</v>
      </c>
      <c r="L524">
        <v>5.7108300545746999</v>
      </c>
      <c r="M524">
        <v>10.729103465268199</v>
      </c>
      <c r="N524">
        <v>71.685421766731594</v>
      </c>
      <c r="O524">
        <v>-8.3381875000000001</v>
      </c>
      <c r="P524">
        <v>8.3080099999999995</v>
      </c>
      <c r="Q524">
        <v>5.5473600000000003</v>
      </c>
      <c r="R524">
        <v>508050500</v>
      </c>
      <c r="S524">
        <v>33.999899999999997</v>
      </c>
      <c r="T524">
        <v>5846000000</v>
      </c>
    </row>
    <row r="525" spans="1:20" x14ac:dyDescent="0.2">
      <c r="A525" t="s">
        <v>121</v>
      </c>
      <c r="B525" t="s">
        <v>48</v>
      </c>
      <c r="C525">
        <v>2021</v>
      </c>
      <c r="D525">
        <v>9930000000</v>
      </c>
      <c r="E525">
        <v>1927187390</v>
      </c>
      <c r="F525">
        <v>3172000000</v>
      </c>
      <c r="G525">
        <v>1163000000</v>
      </c>
      <c r="H525">
        <v>2259000000</v>
      </c>
      <c r="I525">
        <v>1.98482674583164</v>
      </c>
      <c r="J525">
        <v>8969425028.7000008</v>
      </c>
      <c r="K525">
        <v>174000000</v>
      </c>
      <c r="L525">
        <v>5.6772094972115497</v>
      </c>
      <c r="M525">
        <v>4.5240909870492203</v>
      </c>
      <c r="N525">
        <v>74.434223061859896</v>
      </c>
      <c r="O525">
        <v>18.1675416666667</v>
      </c>
      <c r="P525">
        <v>7.7575900000000004</v>
      </c>
      <c r="Q525">
        <v>4.5127800000000002</v>
      </c>
      <c r="R525">
        <v>602362140</v>
      </c>
      <c r="S525">
        <v>32.452300000000001</v>
      </c>
      <c r="T525">
        <v>5595000000</v>
      </c>
    </row>
    <row r="526" spans="1:20" x14ac:dyDescent="0.2">
      <c r="A526" t="s">
        <v>121</v>
      </c>
      <c r="B526" t="s">
        <v>48</v>
      </c>
      <c r="C526">
        <v>2022</v>
      </c>
      <c r="D526">
        <v>12016000000</v>
      </c>
      <c r="E526">
        <v>1645356180</v>
      </c>
      <c r="F526">
        <v>3729000000</v>
      </c>
      <c r="G526">
        <v>1702000000</v>
      </c>
      <c r="H526">
        <v>2915000000</v>
      </c>
      <c r="I526">
        <v>1.14980647835603</v>
      </c>
      <c r="J526">
        <v>8980150798.5400009</v>
      </c>
      <c r="K526">
        <v>310000000</v>
      </c>
      <c r="L526">
        <v>-2.83953230248627</v>
      </c>
      <c r="M526">
        <v>3.9647474449462399</v>
      </c>
      <c r="N526">
        <v>73.287665633100701</v>
      </c>
      <c r="O526">
        <v>37.755162790697703</v>
      </c>
      <c r="P526">
        <v>7.2393200000000002</v>
      </c>
      <c r="Q526">
        <v>4.6560899999999998</v>
      </c>
      <c r="R526">
        <v>1016272000</v>
      </c>
      <c r="S526">
        <v>30.7271</v>
      </c>
      <c r="T526">
        <v>6818000000</v>
      </c>
    </row>
    <row r="527" spans="1:20" x14ac:dyDescent="0.2">
      <c r="A527" t="s">
        <v>121</v>
      </c>
      <c r="B527" t="s">
        <v>48</v>
      </c>
      <c r="C527">
        <v>2023</v>
      </c>
      <c r="D527">
        <v>12756000000</v>
      </c>
      <c r="E527">
        <v>1101921170</v>
      </c>
      <c r="F527">
        <v>3067000000</v>
      </c>
      <c r="G527">
        <v>1285000000</v>
      </c>
      <c r="H527">
        <v>3585000000</v>
      </c>
      <c r="I527">
        <v>0.76101690532796296</v>
      </c>
      <c r="J527">
        <v>10093507352</v>
      </c>
      <c r="K527">
        <v>509000000</v>
      </c>
      <c r="L527">
        <v>1.9791246111752501</v>
      </c>
      <c r="M527">
        <v>12.053272845698199</v>
      </c>
      <c r="N527">
        <v>78.612229890304405</v>
      </c>
      <c r="O527">
        <v>18.456883449883399</v>
      </c>
      <c r="P527">
        <v>7.7425800000000002</v>
      </c>
      <c r="Q527">
        <v>5.4459499999999998</v>
      </c>
      <c r="R527">
        <v>1172747710</v>
      </c>
      <c r="S527">
        <v>31.602499999999999</v>
      </c>
      <c r="T527">
        <v>6838000000</v>
      </c>
    </row>
    <row r="528" spans="1:20" x14ac:dyDescent="0.2">
      <c r="A528" t="s">
        <v>121</v>
      </c>
      <c r="B528" t="s">
        <v>48</v>
      </c>
      <c r="C528">
        <v>2024</v>
      </c>
      <c r="D528">
        <v>13323000000</v>
      </c>
      <c r="E528">
        <v>3424205400</v>
      </c>
      <c r="F528">
        <v>3096000000</v>
      </c>
      <c r="G528">
        <v>1741000000</v>
      </c>
      <c r="H528">
        <v>3781000000</v>
      </c>
      <c r="I528">
        <v>2.10024936432242</v>
      </c>
      <c r="J528">
        <v>18462929848.860001</v>
      </c>
      <c r="K528">
        <v>547000000</v>
      </c>
      <c r="L528">
        <v>14.9037803483077</v>
      </c>
      <c r="M528">
        <v>16.968237502959202</v>
      </c>
      <c r="N528">
        <v>78.218896148853602</v>
      </c>
      <c r="O528">
        <v>12.926025041736199</v>
      </c>
      <c r="P528">
        <v>9.37866</v>
      </c>
      <c r="Q528">
        <v>7.0339999999999998</v>
      </c>
      <c r="R528">
        <v>1431743940</v>
      </c>
      <c r="S528">
        <v>22.960799999999999</v>
      </c>
      <c r="T528">
        <v>7068000000</v>
      </c>
    </row>
    <row r="529" spans="1:20" x14ac:dyDescent="0.2">
      <c r="A529" t="s">
        <v>121</v>
      </c>
      <c r="B529" t="s">
        <v>48</v>
      </c>
      <c r="C529">
        <v>2025</v>
      </c>
      <c r="D529">
        <v>18202000000</v>
      </c>
      <c r="E529">
        <v>3109321790</v>
      </c>
      <c r="F529">
        <v>5415000000</v>
      </c>
      <c r="G529">
        <v>1033000000</v>
      </c>
      <c r="H529">
        <v>5087000000</v>
      </c>
      <c r="I529">
        <v>1.2334696435127599</v>
      </c>
      <c r="J529">
        <v>25140762337.360001</v>
      </c>
      <c r="K529">
        <v>748000000</v>
      </c>
      <c r="L529">
        <v>8.5478872867524593</v>
      </c>
      <c r="M529">
        <v>24.230341382931901</v>
      </c>
      <c r="N529">
        <v>73.285191462502397</v>
      </c>
      <c r="O529">
        <v>4.7916640624999998</v>
      </c>
      <c r="P529">
        <v>10.184419999999999</v>
      </c>
      <c r="Q529">
        <v>7.4533100000000001</v>
      </c>
      <c r="R529">
        <v>1819434670</v>
      </c>
      <c r="S529">
        <v>17.621300000000002</v>
      </c>
      <c r="T529">
        <v>10712000000</v>
      </c>
    </row>
    <row r="530" spans="1:20" x14ac:dyDescent="0.2">
      <c r="A530" t="s">
        <v>90</v>
      </c>
      <c r="B530" t="s">
        <v>49</v>
      </c>
      <c r="C530">
        <v>2004</v>
      </c>
      <c r="D530">
        <v>8125996705.6087704</v>
      </c>
      <c r="E530">
        <v>2362854276.1350899</v>
      </c>
      <c r="F530">
        <v>2476635559.1237102</v>
      </c>
      <c r="G530">
        <v>9742862.1523356009</v>
      </c>
      <c r="H530">
        <v>2590701991.3995199</v>
      </c>
      <c r="I530" t="s">
        <v>18</v>
      </c>
      <c r="J530">
        <v>10241218768.655899</v>
      </c>
      <c r="K530">
        <v>415051802.73470098</v>
      </c>
      <c r="L530" t="s">
        <v>18</v>
      </c>
      <c r="M530">
        <v>-8.07898895514837</v>
      </c>
      <c r="N530">
        <v>38.531261240543998</v>
      </c>
      <c r="O530" t="s">
        <v>18</v>
      </c>
      <c r="P530">
        <v>16.427289999999999</v>
      </c>
      <c r="Q530">
        <v>12.56537</v>
      </c>
      <c r="R530">
        <v>1017692025.21342</v>
      </c>
      <c r="S530" t="s">
        <v>18</v>
      </c>
      <c r="T530">
        <v>5066887879.9623499</v>
      </c>
    </row>
    <row r="531" spans="1:20" x14ac:dyDescent="0.2">
      <c r="A531" t="s">
        <v>90</v>
      </c>
      <c r="B531" t="s">
        <v>49</v>
      </c>
      <c r="C531">
        <v>2005</v>
      </c>
      <c r="D531">
        <v>9675281318.4944496</v>
      </c>
      <c r="E531">
        <v>2929180100.09868</v>
      </c>
      <c r="F531">
        <v>2453553491.7995601</v>
      </c>
      <c r="G531">
        <v>338511658.22689098</v>
      </c>
      <c r="H531">
        <v>2715528276.3963399</v>
      </c>
      <c r="I531" t="s">
        <v>18</v>
      </c>
      <c r="J531">
        <v>12313251635.5826</v>
      </c>
      <c r="K531">
        <v>520005201.26041901</v>
      </c>
      <c r="L531" t="s">
        <v>18</v>
      </c>
      <c r="M531">
        <v>-1.60161724661085</v>
      </c>
      <c r="N531">
        <v>56.102517556709998</v>
      </c>
      <c r="O531" t="s">
        <v>18</v>
      </c>
      <c r="P531">
        <v>15.42305</v>
      </c>
      <c r="Q531">
        <v>11.73127</v>
      </c>
      <c r="R531">
        <v>1340531510.8884399</v>
      </c>
      <c r="S531" t="s">
        <v>18</v>
      </c>
      <c r="T531">
        <v>5168498630.1111002</v>
      </c>
    </row>
    <row r="532" spans="1:20" x14ac:dyDescent="0.2">
      <c r="A532" t="s">
        <v>90</v>
      </c>
      <c r="B532" t="s">
        <v>49</v>
      </c>
      <c r="C532">
        <v>2006</v>
      </c>
      <c r="D532">
        <v>11931613285.364201</v>
      </c>
      <c r="E532">
        <v>3128292872.8039999</v>
      </c>
      <c r="F532">
        <v>3176972767.0890002</v>
      </c>
      <c r="G532">
        <v>71574762.326850504</v>
      </c>
      <c r="H532">
        <v>3077284470.8622298</v>
      </c>
      <c r="I532" t="s">
        <v>18</v>
      </c>
      <c r="J532">
        <v>18630879810.4221</v>
      </c>
      <c r="K532">
        <v>941697701.83942294</v>
      </c>
      <c r="L532" t="s">
        <v>18</v>
      </c>
      <c r="M532">
        <v>11.9685323990391</v>
      </c>
      <c r="N532">
        <v>57.414041105380697</v>
      </c>
      <c r="O532" t="s">
        <v>18</v>
      </c>
      <c r="P532">
        <v>11.84895</v>
      </c>
      <c r="Q532">
        <v>9.8381500000000006</v>
      </c>
      <c r="R532">
        <v>1670915894.7323999</v>
      </c>
      <c r="S532" t="s">
        <v>18</v>
      </c>
      <c r="T532">
        <v>6254257237.95123</v>
      </c>
    </row>
    <row r="533" spans="1:20" x14ac:dyDescent="0.2">
      <c r="A533" t="s">
        <v>90</v>
      </c>
      <c r="B533" t="s">
        <v>49</v>
      </c>
      <c r="C533">
        <v>2007</v>
      </c>
      <c r="D533">
        <v>13955192746.379101</v>
      </c>
      <c r="E533">
        <v>3197226837.17975</v>
      </c>
      <c r="F533">
        <v>3357545080.28967</v>
      </c>
      <c r="G533">
        <v>106092884.130982</v>
      </c>
      <c r="H533">
        <v>3825090526.6057901</v>
      </c>
      <c r="I533" t="s">
        <v>18</v>
      </c>
      <c r="J533">
        <v>19310704045.644699</v>
      </c>
      <c r="K533">
        <v>1225416766.7216699</v>
      </c>
      <c r="L533" t="s">
        <v>18</v>
      </c>
      <c r="M533">
        <v>13.9998088491924</v>
      </c>
      <c r="N533">
        <v>55.964153028023198</v>
      </c>
      <c r="O533" t="s">
        <v>18</v>
      </c>
      <c r="P533">
        <v>11.44509</v>
      </c>
      <c r="Q533">
        <v>8.9482700000000008</v>
      </c>
      <c r="R533">
        <v>1767866953.8836</v>
      </c>
      <c r="S533" t="s">
        <v>18</v>
      </c>
      <c r="T533">
        <v>7182635606.8954697</v>
      </c>
    </row>
    <row r="534" spans="1:20" x14ac:dyDescent="0.2">
      <c r="A534" t="s">
        <v>90</v>
      </c>
      <c r="B534" t="s">
        <v>49</v>
      </c>
      <c r="C534">
        <v>2008</v>
      </c>
      <c r="D534">
        <v>17315955942.4198</v>
      </c>
      <c r="E534">
        <v>5203424545.3889799</v>
      </c>
      <c r="F534">
        <v>4929528564.0639296</v>
      </c>
      <c r="G534">
        <v>158149212.83261299</v>
      </c>
      <c r="H534">
        <v>3746300908.1175399</v>
      </c>
      <c r="I534" t="s">
        <v>18</v>
      </c>
      <c r="J534">
        <v>10964823024.8519</v>
      </c>
      <c r="K534">
        <v>1238599663.6896801</v>
      </c>
      <c r="L534" t="s">
        <v>18</v>
      </c>
      <c r="M534">
        <v>27.541277398620899</v>
      </c>
      <c r="N534">
        <v>69.617090900313002</v>
      </c>
      <c r="O534" t="s">
        <v>18</v>
      </c>
      <c r="P534">
        <v>9.4465900000000005</v>
      </c>
      <c r="Q534">
        <v>7.4782200000000003</v>
      </c>
      <c r="R534">
        <v>1696840926.23084</v>
      </c>
      <c r="S534" t="s">
        <v>18</v>
      </c>
      <c r="T534">
        <v>8676206616.5681896</v>
      </c>
    </row>
    <row r="535" spans="1:20" x14ac:dyDescent="0.2">
      <c r="A535" t="s">
        <v>90</v>
      </c>
      <c r="B535" t="s">
        <v>49</v>
      </c>
      <c r="C535">
        <v>2009</v>
      </c>
      <c r="D535">
        <v>19211044716.937901</v>
      </c>
      <c r="E535">
        <v>6486017265.0434599</v>
      </c>
      <c r="F535">
        <v>5834030575.2922297</v>
      </c>
      <c r="G535">
        <v>157521636.488655</v>
      </c>
      <c r="H535">
        <v>3218760577.5842299</v>
      </c>
      <c r="I535" t="s">
        <v>18</v>
      </c>
      <c r="J535">
        <v>11440532320.543501</v>
      </c>
      <c r="K535">
        <v>135212760.85126001</v>
      </c>
      <c r="L535" t="s">
        <v>18</v>
      </c>
      <c r="M535">
        <v>32.870700532254197</v>
      </c>
      <c r="N535">
        <v>66.858591908629407</v>
      </c>
      <c r="O535" t="s">
        <v>18</v>
      </c>
      <c r="P535">
        <v>6.3927300000000002</v>
      </c>
      <c r="Q535">
        <v>5.0935699999999997</v>
      </c>
      <c r="R535">
        <v>1645379533.6640201</v>
      </c>
      <c r="S535">
        <v>0</v>
      </c>
      <c r="T535">
        <v>9050304538.1618195</v>
      </c>
    </row>
    <row r="536" spans="1:20" x14ac:dyDescent="0.2">
      <c r="A536" t="s">
        <v>90</v>
      </c>
      <c r="B536" t="s">
        <v>49</v>
      </c>
      <c r="C536">
        <v>2010</v>
      </c>
      <c r="D536">
        <v>20371154362.579102</v>
      </c>
      <c r="E536">
        <v>7501513886.24578</v>
      </c>
      <c r="F536">
        <v>6271842362.6398602</v>
      </c>
      <c r="G536">
        <v>149123556.560949</v>
      </c>
      <c r="H536">
        <v>3511539484.1119199</v>
      </c>
      <c r="I536" t="s">
        <v>18</v>
      </c>
      <c r="J536">
        <v>12318380476.614799</v>
      </c>
      <c r="K536">
        <v>1395863070.87622</v>
      </c>
      <c r="L536" t="s">
        <v>18</v>
      </c>
      <c r="M536">
        <v>24.472498380372201</v>
      </c>
      <c r="N536">
        <v>69.308477083963396</v>
      </c>
      <c r="O536" t="s">
        <v>18</v>
      </c>
      <c r="P536">
        <v>8.2550699999999999</v>
      </c>
      <c r="Q536">
        <v>6.3196000000000003</v>
      </c>
      <c r="R536">
        <v>1735424591.0845101</v>
      </c>
      <c r="S536">
        <v>0</v>
      </c>
      <c r="T536">
        <v>9779111541.4395695</v>
      </c>
    </row>
    <row r="537" spans="1:20" x14ac:dyDescent="0.2">
      <c r="A537" t="s">
        <v>90</v>
      </c>
      <c r="B537" t="s">
        <v>49</v>
      </c>
      <c r="C537">
        <v>2011</v>
      </c>
      <c r="D537">
        <v>24276341217.3969</v>
      </c>
      <c r="E537">
        <v>7733974373.3158503</v>
      </c>
      <c r="F537">
        <v>6345004261.0493898</v>
      </c>
      <c r="G537">
        <v>139430744.32100499</v>
      </c>
      <c r="H537">
        <v>4571562894.56388</v>
      </c>
      <c r="I537" t="s">
        <v>18</v>
      </c>
      <c r="J537">
        <v>14416251971.422899</v>
      </c>
      <c r="K537">
        <v>1770419781.08743</v>
      </c>
      <c r="L537" t="s">
        <v>18</v>
      </c>
      <c r="M537">
        <v>21.001059438012099</v>
      </c>
      <c r="N537">
        <v>64.750379761512605</v>
      </c>
      <c r="O537" t="s">
        <v>18</v>
      </c>
      <c r="P537">
        <v>6.60792</v>
      </c>
      <c r="Q537">
        <v>4.7790299999999997</v>
      </c>
      <c r="R537">
        <v>1893311868.7376299</v>
      </c>
      <c r="S537">
        <v>0</v>
      </c>
      <c r="T537">
        <v>12230973539.171801</v>
      </c>
    </row>
    <row r="538" spans="1:20" x14ac:dyDescent="0.2">
      <c r="A538" t="s">
        <v>90</v>
      </c>
      <c r="B538" t="s">
        <v>49</v>
      </c>
      <c r="C538">
        <v>2012</v>
      </c>
      <c r="D538">
        <v>23619730872.064201</v>
      </c>
      <c r="E538">
        <v>8666098385.8845501</v>
      </c>
      <c r="F538">
        <v>7494000057.6359701</v>
      </c>
      <c r="G538">
        <v>190661683.290373</v>
      </c>
      <c r="H538">
        <v>4106845458.7662702</v>
      </c>
      <c r="I538" t="s">
        <v>18</v>
      </c>
      <c r="J538">
        <v>16839764188.757999</v>
      </c>
      <c r="K538">
        <v>305327492.11900699</v>
      </c>
      <c r="L538" t="s">
        <v>18</v>
      </c>
      <c r="M538">
        <v>27.352534207005299</v>
      </c>
      <c r="N538">
        <v>60.850821805662598</v>
      </c>
      <c r="O538" t="s">
        <v>18</v>
      </c>
      <c r="P538">
        <v>6.1619200000000003</v>
      </c>
      <c r="Q538">
        <v>4.3484600000000002</v>
      </c>
      <c r="R538">
        <v>1983974945.6264801</v>
      </c>
      <c r="S538">
        <v>0</v>
      </c>
      <c r="T538">
        <v>12994391639.583099</v>
      </c>
    </row>
    <row r="539" spans="1:20" x14ac:dyDescent="0.2">
      <c r="A539" t="s">
        <v>90</v>
      </c>
      <c r="B539" t="s">
        <v>49</v>
      </c>
      <c r="C539">
        <v>2013</v>
      </c>
      <c r="D539">
        <v>24425330158.8508</v>
      </c>
      <c r="E539">
        <v>8680710899.2911396</v>
      </c>
      <c r="F539">
        <v>7216254085.2777996</v>
      </c>
      <c r="G539">
        <v>614063494.717641</v>
      </c>
      <c r="H539">
        <v>3987143444.5542302</v>
      </c>
      <c r="I539">
        <v>3.0313834195542402</v>
      </c>
      <c r="J539">
        <v>15440974801.9576</v>
      </c>
      <c r="K539">
        <v>572167379.91334701</v>
      </c>
      <c r="L539">
        <v>1.5084097637184199</v>
      </c>
      <c r="M539">
        <v>14.7145100154675</v>
      </c>
      <c r="N539">
        <v>57.830414628196301</v>
      </c>
      <c r="O539">
        <v>5.1700277878544503</v>
      </c>
      <c r="P539">
        <v>7.2076599999999997</v>
      </c>
      <c r="Q539">
        <v>5.1701800000000002</v>
      </c>
      <c r="R539">
        <v>2024904825.6826</v>
      </c>
      <c r="S539">
        <v>0</v>
      </c>
      <c r="T539">
        <v>13796742547.693199</v>
      </c>
    </row>
    <row r="540" spans="1:20" x14ac:dyDescent="0.2">
      <c r="A540" t="s">
        <v>90</v>
      </c>
      <c r="B540" t="s">
        <v>49</v>
      </c>
      <c r="C540">
        <v>2014</v>
      </c>
      <c r="D540">
        <v>25556550234.1003</v>
      </c>
      <c r="E540">
        <v>9665425746.0079308</v>
      </c>
      <c r="F540">
        <v>7617099988.3366404</v>
      </c>
      <c r="G540">
        <v>531321462.25236201</v>
      </c>
      <c r="H540">
        <v>3548636876.2184</v>
      </c>
      <c r="I540">
        <v>3.1878529529670199</v>
      </c>
      <c r="J540">
        <v>20539299673.009701</v>
      </c>
      <c r="K540">
        <v>528849674.45455199</v>
      </c>
      <c r="L540">
        <v>0.37930246724851102</v>
      </c>
      <c r="M540">
        <v>9.2056723801435805</v>
      </c>
      <c r="N540">
        <v>60.968736719065397</v>
      </c>
      <c r="O540">
        <v>11.8210418410175</v>
      </c>
      <c r="P540">
        <v>7.2633599999999996</v>
      </c>
      <c r="Q540">
        <v>5.0809199999999999</v>
      </c>
      <c r="R540">
        <v>2153977037.5679798</v>
      </c>
      <c r="S540">
        <v>0</v>
      </c>
      <c r="T540">
        <v>13811816968.5256</v>
      </c>
    </row>
    <row r="541" spans="1:20" x14ac:dyDescent="0.2">
      <c r="A541" t="s">
        <v>90</v>
      </c>
      <c r="B541" t="s">
        <v>49</v>
      </c>
      <c r="C541">
        <v>2015</v>
      </c>
      <c r="D541">
        <v>32166531346.0256</v>
      </c>
      <c r="E541">
        <v>10989154991.7735</v>
      </c>
      <c r="F541">
        <v>8423837882.8061304</v>
      </c>
      <c r="G541">
        <v>2081277696.1256399</v>
      </c>
      <c r="H541">
        <v>3741135666.3456602</v>
      </c>
      <c r="I541">
        <v>3.39105798507812</v>
      </c>
      <c r="J541">
        <v>20820163890.138699</v>
      </c>
      <c r="K541">
        <v>847144993.51149297</v>
      </c>
      <c r="L541">
        <v>-1.0816120310642801</v>
      </c>
      <c r="M541">
        <v>8.8695668371208995</v>
      </c>
      <c r="N541">
        <v>64.407428536372706</v>
      </c>
      <c r="O541">
        <v>30.736638296079601</v>
      </c>
      <c r="P541">
        <v>5.7420099999999996</v>
      </c>
      <c r="Q541">
        <v>3.6566800000000002</v>
      </c>
      <c r="R541">
        <v>2311773960.9241199</v>
      </c>
      <c r="S541">
        <v>0</v>
      </c>
      <c r="T541">
        <v>16819783634.3433</v>
      </c>
    </row>
    <row r="542" spans="1:20" x14ac:dyDescent="0.2">
      <c r="A542" t="s">
        <v>90</v>
      </c>
      <c r="B542" t="s">
        <v>49</v>
      </c>
      <c r="C542">
        <v>2016</v>
      </c>
      <c r="D542">
        <v>27997456873.133499</v>
      </c>
      <c r="E542">
        <v>9896807082.6708508</v>
      </c>
      <c r="F542">
        <v>9046328152.9979305</v>
      </c>
      <c r="G542">
        <v>454537356.42085898</v>
      </c>
      <c r="H542">
        <v>3766527211.1187701</v>
      </c>
      <c r="I542">
        <v>3.5671137649618299</v>
      </c>
      <c r="J542">
        <v>17421122913.545601</v>
      </c>
      <c r="K542">
        <v>799041798.65983605</v>
      </c>
      <c r="L542">
        <v>7.8084439298216699</v>
      </c>
      <c r="M542">
        <v>7.1091759545155702</v>
      </c>
      <c r="N542">
        <v>65.639875584195806</v>
      </c>
      <c r="O542">
        <v>6.00689990990415</v>
      </c>
      <c r="P542">
        <v>7.5535199999999998</v>
      </c>
      <c r="Q542">
        <v>5.194</v>
      </c>
      <c r="R542">
        <v>1962032206.26986</v>
      </c>
      <c r="S542">
        <v>2.9923000000000002</v>
      </c>
      <c r="T542">
        <v>15629674595.1068</v>
      </c>
    </row>
    <row r="543" spans="1:20" x14ac:dyDescent="0.2">
      <c r="A543" t="s">
        <v>90</v>
      </c>
      <c r="B543" t="s">
        <v>49</v>
      </c>
      <c r="C543">
        <v>2017</v>
      </c>
      <c r="D543">
        <v>28174745128.147202</v>
      </c>
      <c r="E543">
        <v>9893700048.1562805</v>
      </c>
      <c r="F543">
        <v>9521481494.8628197</v>
      </c>
      <c r="G543">
        <v>1681079146.43785</v>
      </c>
      <c r="H543">
        <v>4786186654.6234598</v>
      </c>
      <c r="I543">
        <v>3.5933851129476202</v>
      </c>
      <c r="J543">
        <v>15398205018.138599</v>
      </c>
      <c r="K543">
        <v>2046320329.04737</v>
      </c>
      <c r="L543">
        <v>4.7781036816983002</v>
      </c>
      <c r="M543">
        <v>-1.45824310509056</v>
      </c>
      <c r="N543">
        <v>59.558206974071602</v>
      </c>
      <c r="O543">
        <v>0.32901455169432298</v>
      </c>
      <c r="P543">
        <v>9.3185099999999998</v>
      </c>
      <c r="Q543">
        <v>5.4098300000000004</v>
      </c>
      <c r="R543">
        <v>1882837674.6621699</v>
      </c>
      <c r="S543">
        <v>3.0371000000000001</v>
      </c>
      <c r="T543">
        <v>16910808016.258301</v>
      </c>
    </row>
    <row r="544" spans="1:20" x14ac:dyDescent="0.2">
      <c r="A544" t="s">
        <v>90</v>
      </c>
      <c r="B544" t="s">
        <v>49</v>
      </c>
      <c r="C544">
        <v>2018</v>
      </c>
      <c r="D544">
        <v>23053911856.7104</v>
      </c>
      <c r="E544">
        <v>11025667766.743999</v>
      </c>
      <c r="F544">
        <v>9857579439.9596405</v>
      </c>
      <c r="G544">
        <v>264124571.14026201</v>
      </c>
      <c r="H544">
        <v>4555181987.8910198</v>
      </c>
      <c r="I544">
        <v>4.5593170394743101</v>
      </c>
      <c r="J544">
        <v>12672925546.286301</v>
      </c>
      <c r="K544">
        <v>848236291.38608694</v>
      </c>
      <c r="L544">
        <v>-3.3247262600010399</v>
      </c>
      <c r="M544">
        <v>-0.77850480883977502</v>
      </c>
      <c r="N544">
        <v>62.466598781393202</v>
      </c>
      <c r="O544">
        <v>-0.60492096531112904</v>
      </c>
      <c r="P544">
        <v>7.3452099999999998</v>
      </c>
      <c r="Q544">
        <v>4.6116799999999998</v>
      </c>
      <c r="R544">
        <v>1480110278.02988</v>
      </c>
      <c r="S544">
        <v>0.88880000000000003</v>
      </c>
      <c r="T544">
        <v>15743280423.814301</v>
      </c>
    </row>
    <row r="545" spans="1:20" x14ac:dyDescent="0.2">
      <c r="A545" t="s">
        <v>90</v>
      </c>
      <c r="B545" t="s">
        <v>49</v>
      </c>
      <c r="C545">
        <v>2019</v>
      </c>
      <c r="D545">
        <v>26102920185.040401</v>
      </c>
      <c r="E545">
        <v>11489235411.180599</v>
      </c>
      <c r="F545">
        <v>10882480323.1691</v>
      </c>
      <c r="G545">
        <v>501396142.819911</v>
      </c>
      <c r="H545">
        <v>5370143210.8417997</v>
      </c>
      <c r="I545">
        <v>4.9229086442785901</v>
      </c>
      <c r="J545">
        <v>15793459793.7374</v>
      </c>
      <c r="K545">
        <v>1485820712.4428799</v>
      </c>
      <c r="L545">
        <v>14.4617332569663</v>
      </c>
      <c r="M545">
        <v>-4.2925815973151398</v>
      </c>
      <c r="N545">
        <v>61.440576487477102</v>
      </c>
      <c r="O545">
        <v>14.932440262393801</v>
      </c>
      <c r="P545">
        <v>18.093540000000001</v>
      </c>
      <c r="Q545">
        <v>10.98541</v>
      </c>
      <c r="R545">
        <v>1596932265.9444201</v>
      </c>
      <c r="S545">
        <v>2.3748</v>
      </c>
      <c r="T545">
        <v>17611481430.805302</v>
      </c>
    </row>
    <row r="546" spans="1:20" x14ac:dyDescent="0.2">
      <c r="A546" t="s">
        <v>90</v>
      </c>
      <c r="B546" t="s">
        <v>49</v>
      </c>
      <c r="C546">
        <v>2020</v>
      </c>
      <c r="D546">
        <v>23680511610.868301</v>
      </c>
      <c r="E546">
        <v>10721058490.617901</v>
      </c>
      <c r="F546">
        <v>11453550417.246201</v>
      </c>
      <c r="G546">
        <v>185330344.72481599</v>
      </c>
      <c r="H546">
        <v>4222739519.17346</v>
      </c>
      <c r="I546">
        <v>4.8464658960909901</v>
      </c>
      <c r="J546">
        <v>15860396554.1297</v>
      </c>
      <c r="K546">
        <v>533335338.21615499</v>
      </c>
      <c r="L546">
        <v>3.0802396003705499</v>
      </c>
      <c r="M546">
        <v>-5.2671075884351604</v>
      </c>
      <c r="N546">
        <v>74.373070389419297</v>
      </c>
      <c r="O546">
        <v>-1.08190775324148</v>
      </c>
      <c r="P546">
        <v>23.39499</v>
      </c>
      <c r="Q546">
        <v>15.60009</v>
      </c>
      <c r="R546">
        <v>1423225427.3938501</v>
      </c>
      <c r="S546">
        <v>3.7084999999999999</v>
      </c>
      <c r="T546">
        <v>16993306365.487801</v>
      </c>
    </row>
    <row r="547" spans="1:20" x14ac:dyDescent="0.2">
      <c r="A547" t="s">
        <v>90</v>
      </c>
      <c r="B547" t="s">
        <v>49</v>
      </c>
      <c r="C547">
        <v>2021</v>
      </c>
      <c r="D547">
        <v>25367616027.7785</v>
      </c>
      <c r="E547">
        <v>10000129210.914301</v>
      </c>
      <c r="F547">
        <v>11056359296.7178</v>
      </c>
      <c r="G547">
        <v>1880048684.1017399</v>
      </c>
      <c r="H547">
        <v>6119616036.04597</v>
      </c>
      <c r="I547">
        <v>4.1808792260404104</v>
      </c>
      <c r="J547">
        <v>19788722826.8405</v>
      </c>
      <c r="K547">
        <v>2458821280.2081199</v>
      </c>
      <c r="L547">
        <v>17.480784643623899</v>
      </c>
      <c r="M547">
        <v>-9.5084288323394208</v>
      </c>
      <c r="N547">
        <v>77.339535032103697</v>
      </c>
      <c r="O547">
        <v>78.527590851417898</v>
      </c>
      <c r="P547">
        <v>25.19923</v>
      </c>
      <c r="Q547">
        <v>17.051449999999999</v>
      </c>
      <c r="R547">
        <v>1598169561.3696101</v>
      </c>
      <c r="S547">
        <v>4.1684999999999999</v>
      </c>
      <c r="T547">
        <v>18905873896.9879</v>
      </c>
    </row>
    <row r="548" spans="1:20" x14ac:dyDescent="0.2">
      <c r="A548" t="s">
        <v>90</v>
      </c>
      <c r="B548" t="s">
        <v>49</v>
      </c>
      <c r="C548">
        <v>2022</v>
      </c>
      <c r="D548">
        <v>30576099561.357399</v>
      </c>
      <c r="E548">
        <v>10629840808.376101</v>
      </c>
      <c r="F548">
        <v>10758855096.9216</v>
      </c>
      <c r="G548">
        <v>1245409848.44505</v>
      </c>
      <c r="H548">
        <v>9592729893.3599491</v>
      </c>
      <c r="I548">
        <v>3.3034026659627398</v>
      </c>
      <c r="J548">
        <v>21898072727.473301</v>
      </c>
      <c r="K548">
        <v>2927262027.2599902</v>
      </c>
      <c r="L548">
        <v>3.7058638078202999</v>
      </c>
      <c r="M548">
        <v>-3.8048064324548099</v>
      </c>
      <c r="N548">
        <v>74.4178845897343</v>
      </c>
      <c r="O548">
        <v>97.722206204598805</v>
      </c>
      <c r="P548">
        <v>21.337789999999998</v>
      </c>
      <c r="Q548">
        <v>14.47457</v>
      </c>
      <c r="R548">
        <v>2205312479.8032498</v>
      </c>
      <c r="S548">
        <v>4.1689999999999996</v>
      </c>
      <c r="T548">
        <v>21647200534.513599</v>
      </c>
    </row>
    <row r="549" spans="1:20" x14ac:dyDescent="0.2">
      <c r="A549" t="s">
        <v>90</v>
      </c>
      <c r="B549" t="s">
        <v>49</v>
      </c>
      <c r="C549">
        <v>2023</v>
      </c>
      <c r="D549">
        <v>30923030338.048698</v>
      </c>
      <c r="E549">
        <v>11002570888.4105</v>
      </c>
      <c r="F549">
        <v>10308662902.2113</v>
      </c>
      <c r="G549">
        <v>1014720424.7499501</v>
      </c>
      <c r="H549">
        <v>9730415627.1968193</v>
      </c>
      <c r="I549">
        <v>3.04215915444914</v>
      </c>
      <c r="J549">
        <v>23534176197.431198</v>
      </c>
      <c r="K549">
        <v>-877381379.04241204</v>
      </c>
      <c r="L549">
        <v>-1.66556461994007</v>
      </c>
      <c r="M549">
        <v>3.1092760376200301</v>
      </c>
      <c r="N549">
        <v>76.012978639833406</v>
      </c>
      <c r="O549">
        <v>97.420640465031994</v>
      </c>
      <c r="P549">
        <v>22.426290000000002</v>
      </c>
      <c r="Q549">
        <v>17.139949999999999</v>
      </c>
      <c r="R549">
        <v>2714644784.8840098</v>
      </c>
      <c r="S549">
        <v>2.6882000000000001</v>
      </c>
      <c r="T549">
        <v>22919505480.8036</v>
      </c>
    </row>
    <row r="550" spans="1:20" x14ac:dyDescent="0.2">
      <c r="A550" t="s">
        <v>90</v>
      </c>
      <c r="B550" t="s">
        <v>49</v>
      </c>
      <c r="C550">
        <v>2024</v>
      </c>
      <c r="D550">
        <v>33063858124.211102</v>
      </c>
      <c r="E550">
        <v>12456403106.974001</v>
      </c>
      <c r="F550">
        <v>10682462838.9296</v>
      </c>
      <c r="G550">
        <v>1211553177.2279699</v>
      </c>
      <c r="H550">
        <v>10725853728.8564</v>
      </c>
      <c r="I550">
        <v>3.0679212995997802</v>
      </c>
      <c r="J550">
        <v>23543980656.327301</v>
      </c>
      <c r="K550">
        <v>2051616826.9690199</v>
      </c>
      <c r="L550">
        <v>1.2806268782688801</v>
      </c>
      <c r="M550">
        <v>10.7375418972718</v>
      </c>
      <c r="N550">
        <v>72.623370657109604</v>
      </c>
      <c r="O550">
        <v>67.857111293559697</v>
      </c>
      <c r="P550">
        <v>29.83399</v>
      </c>
      <c r="Q550">
        <v>23.217500000000001</v>
      </c>
      <c r="R550">
        <v>2928974362.41611</v>
      </c>
      <c r="S550">
        <v>3.2151999999999998</v>
      </c>
      <c r="T550">
        <v>24486964534.2085</v>
      </c>
    </row>
    <row r="551" spans="1:20" x14ac:dyDescent="0.2">
      <c r="A551" t="s">
        <v>90</v>
      </c>
      <c r="B551" t="s">
        <v>49</v>
      </c>
      <c r="C551">
        <v>2025</v>
      </c>
      <c r="D551">
        <v>36261303034.452499</v>
      </c>
      <c r="E551">
        <v>11142375229.4352</v>
      </c>
      <c r="F551">
        <v>12664155827.983101</v>
      </c>
      <c r="G551">
        <v>1302314315.79491</v>
      </c>
      <c r="H551">
        <v>12159232863.546499</v>
      </c>
      <c r="I551">
        <v>2.8650032995069301</v>
      </c>
      <c r="J551">
        <v>30295053415.818802</v>
      </c>
      <c r="K551">
        <v>1477347285.37131</v>
      </c>
      <c r="L551">
        <v>19.820506781490199</v>
      </c>
      <c r="M551">
        <v>20.924683030869701</v>
      </c>
      <c r="N551">
        <v>73.463771408662694</v>
      </c>
      <c r="O551">
        <v>55.799792884208898</v>
      </c>
      <c r="P551">
        <v>30.023</v>
      </c>
      <c r="Q551">
        <v>22.567340000000002</v>
      </c>
      <c r="R551">
        <v>2678077760.2684898</v>
      </c>
      <c r="S551">
        <v>3.5028000000000001</v>
      </c>
      <c r="T551">
        <v>27822354037.539902</v>
      </c>
    </row>
    <row r="552" spans="1:20" x14ac:dyDescent="0.2">
      <c r="A552" t="s">
        <v>124</v>
      </c>
      <c r="B552" t="s">
        <v>50</v>
      </c>
      <c r="C552">
        <v>2004</v>
      </c>
      <c r="D552">
        <v>4967700000</v>
      </c>
      <c r="E552">
        <v>1755961500</v>
      </c>
      <c r="F552">
        <v>489200000</v>
      </c>
      <c r="G552">
        <v>50700000</v>
      </c>
      <c r="H552">
        <v>2966200000</v>
      </c>
      <c r="I552" t="s">
        <v>18</v>
      </c>
      <c r="J552">
        <v>4072215803.2919998</v>
      </c>
      <c r="K552">
        <v>220400000</v>
      </c>
      <c r="L552" t="s">
        <v>18</v>
      </c>
      <c r="M552" t="s">
        <v>18</v>
      </c>
      <c r="N552">
        <v>21.271961469329899</v>
      </c>
      <c r="O552" t="s">
        <v>18</v>
      </c>
      <c r="P552">
        <v>63.804220000000001</v>
      </c>
      <c r="Q552">
        <v>47.703240000000001</v>
      </c>
      <c r="R552">
        <v>479203130</v>
      </c>
      <c r="S552" t="s">
        <v>18</v>
      </c>
      <c r="T552">
        <v>3455600000</v>
      </c>
    </row>
    <row r="553" spans="1:20" x14ac:dyDescent="0.2">
      <c r="A553" t="s">
        <v>124</v>
      </c>
      <c r="B553" t="s">
        <v>50</v>
      </c>
      <c r="C553">
        <v>2005</v>
      </c>
      <c r="D553">
        <v>4988900000</v>
      </c>
      <c r="E553">
        <v>2115409570</v>
      </c>
      <c r="F553">
        <v>2131900000</v>
      </c>
      <c r="G553">
        <v>231800000</v>
      </c>
      <c r="H553">
        <v>1759100000</v>
      </c>
      <c r="I553" t="s">
        <v>18</v>
      </c>
      <c r="J553">
        <v>4106000000</v>
      </c>
      <c r="K553">
        <v>231100000</v>
      </c>
      <c r="L553" t="s">
        <v>18</v>
      </c>
      <c r="M553" t="s">
        <v>18</v>
      </c>
      <c r="N553">
        <v>28.22695035461</v>
      </c>
      <c r="O553" t="s">
        <v>18</v>
      </c>
      <c r="P553">
        <v>65.549850000000006</v>
      </c>
      <c r="Q553">
        <v>49.753500000000003</v>
      </c>
      <c r="R553">
        <v>514066000</v>
      </c>
      <c r="S553" t="s">
        <v>18</v>
      </c>
      <c r="T553">
        <v>3891000000</v>
      </c>
    </row>
    <row r="554" spans="1:20" x14ac:dyDescent="0.2">
      <c r="A554" t="s">
        <v>124</v>
      </c>
      <c r="B554" t="s">
        <v>50</v>
      </c>
      <c r="C554">
        <v>2006</v>
      </c>
      <c r="D554">
        <v>6290600000</v>
      </c>
      <c r="E554">
        <v>2373674460</v>
      </c>
      <c r="F554">
        <v>2422400000</v>
      </c>
      <c r="G554">
        <v>76600000</v>
      </c>
      <c r="H554">
        <v>1902200000</v>
      </c>
      <c r="I554" t="s">
        <v>18</v>
      </c>
      <c r="J554">
        <v>5020000000</v>
      </c>
      <c r="K554">
        <v>121700000</v>
      </c>
      <c r="L554" t="s">
        <v>18</v>
      </c>
      <c r="M554">
        <v>4.4671895964863797</v>
      </c>
      <c r="N554">
        <v>40.584367368350399</v>
      </c>
      <c r="O554" t="s">
        <v>18</v>
      </c>
      <c r="P554">
        <v>67.69623</v>
      </c>
      <c r="Q554">
        <v>51.147629999999999</v>
      </c>
      <c r="R554">
        <v>623000850</v>
      </c>
      <c r="S554" t="s">
        <v>18</v>
      </c>
      <c r="T554">
        <v>4324600000</v>
      </c>
    </row>
    <row r="555" spans="1:20" x14ac:dyDescent="0.2">
      <c r="A555" t="s">
        <v>124</v>
      </c>
      <c r="B555" t="s">
        <v>50</v>
      </c>
      <c r="C555">
        <v>2007</v>
      </c>
      <c r="D555">
        <v>7124000000</v>
      </c>
      <c r="E555">
        <v>2683595460</v>
      </c>
      <c r="F555">
        <v>2489000000</v>
      </c>
      <c r="G555">
        <v>200400000</v>
      </c>
      <c r="H555">
        <v>2006900000</v>
      </c>
      <c r="I555" t="s">
        <v>18</v>
      </c>
      <c r="J555">
        <v>5351280255</v>
      </c>
      <c r="K555">
        <v>343200000</v>
      </c>
      <c r="L555" t="s">
        <v>18</v>
      </c>
      <c r="M555">
        <v>18.0189219504521</v>
      </c>
      <c r="N555">
        <v>55.215255283762602</v>
      </c>
      <c r="O555" t="s">
        <v>18</v>
      </c>
      <c r="P555">
        <v>71.685519999999997</v>
      </c>
      <c r="Q555">
        <v>53.406039999999997</v>
      </c>
      <c r="R555">
        <v>669941460</v>
      </c>
      <c r="S555" t="s">
        <v>18</v>
      </c>
      <c r="T555">
        <v>4605700000</v>
      </c>
    </row>
    <row r="556" spans="1:20" x14ac:dyDescent="0.2">
      <c r="A556" t="s">
        <v>124</v>
      </c>
      <c r="B556" t="s">
        <v>50</v>
      </c>
      <c r="C556">
        <v>2008</v>
      </c>
      <c r="D556">
        <v>8040500000</v>
      </c>
      <c r="E556">
        <v>3252163460</v>
      </c>
      <c r="F556">
        <v>2837300000</v>
      </c>
      <c r="G556">
        <v>244000000</v>
      </c>
      <c r="H556">
        <v>2163600000</v>
      </c>
      <c r="I556" t="s">
        <v>18</v>
      </c>
      <c r="J556">
        <v>4381990272</v>
      </c>
      <c r="K556">
        <v>157600000</v>
      </c>
      <c r="L556" t="s">
        <v>18</v>
      </c>
      <c r="M556">
        <v>32.374744525561603</v>
      </c>
      <c r="N556">
        <v>55.974152815473197</v>
      </c>
      <c r="O556" t="s">
        <v>18</v>
      </c>
      <c r="P556">
        <v>75.605620000000002</v>
      </c>
      <c r="Q556">
        <v>55.755279999999999</v>
      </c>
      <c r="R556">
        <v>693216620</v>
      </c>
      <c r="S556" t="s">
        <v>18</v>
      </c>
      <c r="T556">
        <v>5112400000</v>
      </c>
    </row>
    <row r="557" spans="1:20" x14ac:dyDescent="0.2">
      <c r="A557" t="s">
        <v>124</v>
      </c>
      <c r="B557" t="s">
        <v>50</v>
      </c>
      <c r="C557">
        <v>2009</v>
      </c>
      <c r="D557">
        <v>9394700000</v>
      </c>
      <c r="E557">
        <v>3914464710</v>
      </c>
      <c r="F557">
        <v>4194500000</v>
      </c>
      <c r="G557">
        <v>779700000</v>
      </c>
      <c r="H557">
        <v>2076800000</v>
      </c>
      <c r="I557" t="s">
        <v>18</v>
      </c>
      <c r="J557">
        <v>5622553728</v>
      </c>
      <c r="K557">
        <v>300500000</v>
      </c>
      <c r="L557" t="s">
        <v>18</v>
      </c>
      <c r="M557">
        <v>20.111094926177099</v>
      </c>
      <c r="N557">
        <v>64.742814529718999</v>
      </c>
      <c r="O557" t="s">
        <v>18</v>
      </c>
      <c r="P557">
        <v>75.772570000000002</v>
      </c>
      <c r="Q557">
        <v>52.135420000000003</v>
      </c>
      <c r="R557">
        <v>690411200</v>
      </c>
      <c r="S557" t="s">
        <v>18</v>
      </c>
      <c r="T557">
        <v>6358200000</v>
      </c>
    </row>
    <row r="558" spans="1:20" x14ac:dyDescent="0.2">
      <c r="A558" t="s">
        <v>124</v>
      </c>
      <c r="B558" t="s">
        <v>50</v>
      </c>
      <c r="C558">
        <v>2010</v>
      </c>
      <c r="D558">
        <v>9319700000</v>
      </c>
      <c r="E558">
        <v>4688923280</v>
      </c>
      <c r="F558">
        <v>4298900000</v>
      </c>
      <c r="G558">
        <v>100000</v>
      </c>
      <c r="H558">
        <v>2501500000</v>
      </c>
      <c r="I558" t="s">
        <v>18</v>
      </c>
      <c r="J558">
        <v>6213316670</v>
      </c>
      <c r="K558">
        <v>354000000</v>
      </c>
      <c r="L558" t="s">
        <v>18</v>
      </c>
      <c r="M558">
        <v>49.549103229394397</v>
      </c>
      <c r="N558">
        <v>74.220325387559399</v>
      </c>
      <c r="O558" t="s">
        <v>18</v>
      </c>
      <c r="P558">
        <v>75.987530000000007</v>
      </c>
      <c r="Q558">
        <v>51.737450000000003</v>
      </c>
      <c r="R558">
        <v>777918220</v>
      </c>
      <c r="S558">
        <v>0</v>
      </c>
      <c r="T558">
        <v>6800400000</v>
      </c>
    </row>
    <row r="559" spans="1:20" x14ac:dyDescent="0.2">
      <c r="A559" t="s">
        <v>124</v>
      </c>
      <c r="B559" t="s">
        <v>50</v>
      </c>
      <c r="C559">
        <v>2011</v>
      </c>
      <c r="D559">
        <v>10762000000</v>
      </c>
      <c r="E559">
        <v>5321724900</v>
      </c>
      <c r="F559">
        <v>5280300000</v>
      </c>
      <c r="G559">
        <v>150100000</v>
      </c>
      <c r="H559">
        <v>2773200000</v>
      </c>
      <c r="I559" t="s">
        <v>18</v>
      </c>
      <c r="J559">
        <v>5282258976</v>
      </c>
      <c r="K559">
        <v>465100000</v>
      </c>
      <c r="L559" t="s">
        <v>18</v>
      </c>
      <c r="M559">
        <v>34.331644557250002</v>
      </c>
      <c r="N559">
        <v>69.222061342178804</v>
      </c>
      <c r="O559" t="s">
        <v>18</v>
      </c>
      <c r="P559">
        <v>76.420320000000004</v>
      </c>
      <c r="Q559">
        <v>52.905880000000003</v>
      </c>
      <c r="R559">
        <v>810565250</v>
      </c>
      <c r="S559">
        <v>2.3597000000000001</v>
      </c>
      <c r="T559">
        <v>8053700000</v>
      </c>
    </row>
    <row r="560" spans="1:20" x14ac:dyDescent="0.2">
      <c r="A560" t="s">
        <v>124</v>
      </c>
      <c r="B560" t="s">
        <v>50</v>
      </c>
      <c r="C560">
        <v>2012</v>
      </c>
      <c r="D560">
        <v>12686700000</v>
      </c>
      <c r="E560">
        <v>5898049470</v>
      </c>
      <c r="F560">
        <v>6798400000</v>
      </c>
      <c r="G560">
        <v>1114900000</v>
      </c>
      <c r="H560">
        <v>2751000000</v>
      </c>
      <c r="I560" t="s">
        <v>18</v>
      </c>
      <c r="J560">
        <v>5873196624</v>
      </c>
      <c r="K560">
        <v>327300000</v>
      </c>
      <c r="L560" t="s">
        <v>18</v>
      </c>
      <c r="M560">
        <v>22.723920829771799</v>
      </c>
      <c r="N560">
        <v>67.561787487596305</v>
      </c>
      <c r="O560" t="s">
        <v>18</v>
      </c>
      <c r="P560">
        <v>77.320430000000002</v>
      </c>
      <c r="Q560">
        <v>52.416260000000001</v>
      </c>
      <c r="R560">
        <v>928749190</v>
      </c>
      <c r="S560">
        <v>0</v>
      </c>
      <c r="T560">
        <v>9549400000</v>
      </c>
    </row>
    <row r="561" spans="1:20" x14ac:dyDescent="0.2">
      <c r="A561" t="s">
        <v>124</v>
      </c>
      <c r="B561" t="s">
        <v>50</v>
      </c>
      <c r="C561">
        <v>2013</v>
      </c>
      <c r="D561">
        <v>15210800000</v>
      </c>
      <c r="E561">
        <v>6565987870</v>
      </c>
      <c r="F561">
        <v>8978800000</v>
      </c>
      <c r="G561">
        <v>2510100000</v>
      </c>
      <c r="H561">
        <v>2788300000</v>
      </c>
      <c r="I561" t="s">
        <v>18</v>
      </c>
      <c r="J561">
        <v>7143511568</v>
      </c>
      <c r="K561">
        <v>463600000</v>
      </c>
      <c r="L561" t="s">
        <v>18</v>
      </c>
      <c r="M561">
        <v>12.684675226564501</v>
      </c>
      <c r="N561">
        <v>62.883793763481798</v>
      </c>
      <c r="O561" t="s">
        <v>18</v>
      </c>
      <c r="P561">
        <v>80.049629999999993</v>
      </c>
      <c r="Q561">
        <v>55.597880000000004</v>
      </c>
      <c r="R561">
        <v>1020581440</v>
      </c>
      <c r="S561">
        <v>0</v>
      </c>
      <c r="T561">
        <v>11767100000</v>
      </c>
    </row>
    <row r="562" spans="1:20" x14ac:dyDescent="0.2">
      <c r="A562" t="s">
        <v>124</v>
      </c>
      <c r="B562" t="s">
        <v>50</v>
      </c>
      <c r="C562">
        <v>2014</v>
      </c>
      <c r="D562">
        <v>14735100000</v>
      </c>
      <c r="E562">
        <v>7087693250</v>
      </c>
      <c r="F562">
        <v>8707700000</v>
      </c>
      <c r="G562">
        <v>1617100000</v>
      </c>
      <c r="H562">
        <v>2940600000</v>
      </c>
      <c r="I562">
        <v>4.7856446260096197</v>
      </c>
      <c r="J562">
        <v>7806808928</v>
      </c>
      <c r="K562">
        <v>513600000</v>
      </c>
      <c r="L562">
        <v>5.0449185667835996</v>
      </c>
      <c r="M562">
        <v>6.3365432123528604</v>
      </c>
      <c r="N562">
        <v>61.623195061073702</v>
      </c>
      <c r="O562">
        <v>-14.008448403860401</v>
      </c>
      <c r="P562">
        <v>79.860129999999998</v>
      </c>
      <c r="Q562">
        <v>55.822400000000002</v>
      </c>
      <c r="R562">
        <v>1008177940</v>
      </c>
      <c r="S562">
        <v>0</v>
      </c>
      <c r="T562">
        <v>11648300000</v>
      </c>
    </row>
    <row r="563" spans="1:20" x14ac:dyDescent="0.2">
      <c r="A563" t="s">
        <v>124</v>
      </c>
      <c r="B563" t="s">
        <v>50</v>
      </c>
      <c r="C563">
        <v>2015</v>
      </c>
      <c r="D563">
        <v>15059200000</v>
      </c>
      <c r="E563">
        <v>7390280060</v>
      </c>
      <c r="F563">
        <v>8849300000</v>
      </c>
      <c r="G563">
        <v>1217300000</v>
      </c>
      <c r="H563">
        <v>3092900000</v>
      </c>
      <c r="I563">
        <v>4.8448840202580401</v>
      </c>
      <c r="J563">
        <v>9346462800</v>
      </c>
      <c r="K563">
        <v>533500000</v>
      </c>
      <c r="L563">
        <v>0.26101966988918701</v>
      </c>
      <c r="M563">
        <v>-12.3520063120086</v>
      </c>
      <c r="N563">
        <v>69.511327786839203</v>
      </c>
      <c r="O563">
        <v>-12.3487473770641</v>
      </c>
      <c r="P563">
        <v>76.700640000000007</v>
      </c>
      <c r="Q563">
        <v>51.705849999999998</v>
      </c>
      <c r="R563">
        <v>1037167330</v>
      </c>
      <c r="S563">
        <v>2.4411999999999998</v>
      </c>
      <c r="T563">
        <v>11942200000</v>
      </c>
    </row>
    <row r="564" spans="1:20" x14ac:dyDescent="0.2">
      <c r="A564" t="s">
        <v>124</v>
      </c>
      <c r="B564" t="s">
        <v>50</v>
      </c>
      <c r="C564">
        <v>2016</v>
      </c>
      <c r="D564">
        <v>15440300000</v>
      </c>
      <c r="E564">
        <v>8299075130</v>
      </c>
      <c r="F564">
        <v>9056000000</v>
      </c>
      <c r="G564">
        <v>431600000</v>
      </c>
      <c r="H564">
        <v>3320800000</v>
      </c>
      <c r="I564">
        <v>5.4416309650515302</v>
      </c>
      <c r="J564">
        <v>8076147856</v>
      </c>
      <c r="K564">
        <v>588000000</v>
      </c>
      <c r="L564">
        <v>4.2057806230255199</v>
      </c>
      <c r="M564">
        <v>9.6479702572055004</v>
      </c>
      <c r="N564">
        <v>70.417059394280201</v>
      </c>
      <c r="O564">
        <v>-11.6205067338436</v>
      </c>
      <c r="P564">
        <v>76.23639</v>
      </c>
      <c r="Q564">
        <v>51.871369999999999</v>
      </c>
      <c r="R564">
        <v>990190560</v>
      </c>
      <c r="S564">
        <v>0</v>
      </c>
      <c r="T564">
        <v>12401800000</v>
      </c>
    </row>
    <row r="565" spans="1:20" x14ac:dyDescent="0.2">
      <c r="A565" t="s">
        <v>124</v>
      </c>
      <c r="B565" t="s">
        <v>50</v>
      </c>
      <c r="C565">
        <v>2017</v>
      </c>
      <c r="D565">
        <v>16041200000</v>
      </c>
      <c r="E565">
        <v>8233518240</v>
      </c>
      <c r="F565">
        <v>9329000000</v>
      </c>
      <c r="G565">
        <v>1135700000</v>
      </c>
      <c r="H565">
        <v>3535400000</v>
      </c>
      <c r="I565">
        <v>5.15770473156363</v>
      </c>
      <c r="J565">
        <v>10331358880</v>
      </c>
      <c r="K565">
        <v>627900000</v>
      </c>
      <c r="L565">
        <v>3.0554751815861598</v>
      </c>
      <c r="M565">
        <v>-8.1004142158369401</v>
      </c>
      <c r="N565">
        <v>69.602540003785506</v>
      </c>
      <c r="O565">
        <v>22.088962052095699</v>
      </c>
      <c r="P565">
        <v>74.328450000000004</v>
      </c>
      <c r="Q565">
        <v>49.699890000000003</v>
      </c>
      <c r="R565">
        <v>1063296580</v>
      </c>
      <c r="S565">
        <v>0.17119999999999999</v>
      </c>
      <c r="T565">
        <v>12884200000</v>
      </c>
    </row>
    <row r="566" spans="1:20" x14ac:dyDescent="0.2">
      <c r="A566" t="s">
        <v>124</v>
      </c>
      <c r="B566" t="s">
        <v>50</v>
      </c>
      <c r="C566">
        <v>2018</v>
      </c>
      <c r="D566">
        <v>16916800000</v>
      </c>
      <c r="E566">
        <v>8239024530</v>
      </c>
      <c r="F566">
        <v>9673900000</v>
      </c>
      <c r="G566">
        <v>1989200000</v>
      </c>
      <c r="H566">
        <v>3803300000</v>
      </c>
      <c r="I566">
        <v>5.0635503424463399</v>
      </c>
      <c r="J566">
        <v>9925340496</v>
      </c>
      <c r="K566">
        <v>694200000</v>
      </c>
      <c r="L566">
        <v>4.14713644982597</v>
      </c>
      <c r="M566">
        <v>-5.6495593449677504</v>
      </c>
      <c r="N566">
        <v>69.439976902953504</v>
      </c>
      <c r="O566">
        <v>23.586309399930599</v>
      </c>
      <c r="P566">
        <v>72.536630000000002</v>
      </c>
      <c r="Q566">
        <v>48.928570000000001</v>
      </c>
      <c r="R566">
        <v>1088591250</v>
      </c>
      <c r="S566">
        <v>0.6593</v>
      </c>
      <c r="T566">
        <v>13502900000</v>
      </c>
    </row>
    <row r="567" spans="1:20" x14ac:dyDescent="0.2">
      <c r="A567" t="s">
        <v>124</v>
      </c>
      <c r="B567" t="s">
        <v>50</v>
      </c>
      <c r="C567">
        <v>2019</v>
      </c>
      <c r="D567">
        <v>17156000000</v>
      </c>
      <c r="E567">
        <v>8312985470</v>
      </c>
      <c r="F567">
        <v>9483200000</v>
      </c>
      <c r="G567">
        <v>1328900000</v>
      </c>
      <c r="H567">
        <v>4019200000</v>
      </c>
      <c r="I567">
        <v>4.8278182441745097</v>
      </c>
      <c r="J567">
        <v>11718253360</v>
      </c>
      <c r="K567">
        <v>711600000</v>
      </c>
      <c r="L567">
        <v>2.8726232525279398</v>
      </c>
      <c r="M567">
        <v>-2.5092652912827802</v>
      </c>
      <c r="N567">
        <v>72.988554205773895</v>
      </c>
      <c r="O567">
        <v>27.596883627204001</v>
      </c>
      <c r="P567">
        <v>71.850390000000004</v>
      </c>
      <c r="Q567">
        <v>48.088009999999997</v>
      </c>
      <c r="R567">
        <v>1140607710</v>
      </c>
      <c r="S567">
        <v>0.98440000000000005</v>
      </c>
      <c r="T567">
        <v>13537400000</v>
      </c>
    </row>
    <row r="568" spans="1:20" x14ac:dyDescent="0.2">
      <c r="A568" t="s">
        <v>124</v>
      </c>
      <c r="B568" t="s">
        <v>50</v>
      </c>
      <c r="C568">
        <v>2020</v>
      </c>
      <c r="D568">
        <v>18003700000</v>
      </c>
      <c r="E568">
        <v>8900892150</v>
      </c>
      <c r="F568">
        <v>9632200000</v>
      </c>
      <c r="G568">
        <v>1057400000</v>
      </c>
      <c r="H568">
        <v>4190300000</v>
      </c>
      <c r="I568">
        <v>4.9766268931335604</v>
      </c>
      <c r="J568">
        <v>12562450000</v>
      </c>
      <c r="K568">
        <v>763900000</v>
      </c>
      <c r="L568">
        <v>3.7480366820604498</v>
      </c>
      <c r="M568">
        <v>2.1613138391952198</v>
      </c>
      <c r="N568">
        <v>77.080645985475996</v>
      </c>
      <c r="O568">
        <v>16.950562890276501</v>
      </c>
      <c r="P568">
        <v>75.361689999999996</v>
      </c>
      <c r="Q568">
        <v>49.805500000000002</v>
      </c>
      <c r="R568">
        <v>1184538530</v>
      </c>
      <c r="S568">
        <v>0.98299999999999998</v>
      </c>
      <c r="T568">
        <v>13864100000</v>
      </c>
    </row>
    <row r="569" spans="1:20" x14ac:dyDescent="0.2">
      <c r="A569" t="s">
        <v>124</v>
      </c>
      <c r="B569" t="s">
        <v>50</v>
      </c>
      <c r="C569">
        <v>2021</v>
      </c>
      <c r="D569">
        <v>20630300000</v>
      </c>
      <c r="E569">
        <v>9773626640</v>
      </c>
      <c r="F569">
        <v>12250400000</v>
      </c>
      <c r="G569">
        <v>2689000000</v>
      </c>
      <c r="H569">
        <v>4369800000</v>
      </c>
      <c r="I569">
        <v>5.3939469266142304</v>
      </c>
      <c r="J569">
        <v>13269967184</v>
      </c>
      <c r="K569">
        <v>793200000</v>
      </c>
      <c r="L569">
        <v>-1.0584197039848999</v>
      </c>
      <c r="M569">
        <v>-7.3987128195661001</v>
      </c>
      <c r="N569">
        <v>78.855289663643902</v>
      </c>
      <c r="O569">
        <v>19.711901230406198</v>
      </c>
      <c r="P569">
        <v>72.719239999999999</v>
      </c>
      <c r="Q569">
        <v>46.401679999999999</v>
      </c>
      <c r="R569">
        <v>1204210440</v>
      </c>
      <c r="S569">
        <v>0.33779999999999999</v>
      </c>
      <c r="T569">
        <v>16666200000</v>
      </c>
    </row>
    <row r="570" spans="1:20" x14ac:dyDescent="0.2">
      <c r="A570" t="s">
        <v>124</v>
      </c>
      <c r="B570" t="s">
        <v>50</v>
      </c>
      <c r="C570">
        <v>2022</v>
      </c>
      <c r="D570">
        <v>22359200000</v>
      </c>
      <c r="E570">
        <v>10066427360</v>
      </c>
      <c r="F570">
        <v>12422000000</v>
      </c>
      <c r="G570">
        <v>1566800000</v>
      </c>
      <c r="H570">
        <v>4681900000</v>
      </c>
      <c r="I570">
        <v>4.9611347307032698</v>
      </c>
      <c r="J570">
        <v>14982480368</v>
      </c>
      <c r="K570">
        <v>803600000</v>
      </c>
      <c r="L570">
        <v>1.5642650774093401</v>
      </c>
      <c r="M570">
        <v>13.0783851186773</v>
      </c>
      <c r="N570">
        <v>79.9347894743198</v>
      </c>
      <c r="O570">
        <v>8.7079969750772701</v>
      </c>
      <c r="P570">
        <v>72.795419999999993</v>
      </c>
      <c r="Q570">
        <v>46.912610000000001</v>
      </c>
      <c r="R570">
        <v>1278276710</v>
      </c>
      <c r="S570">
        <v>0.91320000000000001</v>
      </c>
      <c r="T570">
        <v>17135000000</v>
      </c>
    </row>
    <row r="571" spans="1:20" x14ac:dyDescent="0.2">
      <c r="A571" t="s">
        <v>124</v>
      </c>
      <c r="B571" t="s">
        <v>50</v>
      </c>
      <c r="C571">
        <v>2023</v>
      </c>
      <c r="D571">
        <v>22802900000</v>
      </c>
      <c r="E571">
        <v>10702087000</v>
      </c>
      <c r="F571">
        <v>10770100000</v>
      </c>
      <c r="G571">
        <v>2155100000</v>
      </c>
      <c r="H571">
        <v>5153000000</v>
      </c>
      <c r="I571">
        <v>5.0594535424776899</v>
      </c>
      <c r="J571">
        <v>14938260544</v>
      </c>
      <c r="K571">
        <v>878000000</v>
      </c>
      <c r="L571">
        <v>11.8240453850975</v>
      </c>
      <c r="M571">
        <v>13.5010492621858</v>
      </c>
      <c r="N571">
        <v>78.842179669615106</v>
      </c>
      <c r="O571">
        <v>21.429563410746798</v>
      </c>
      <c r="P571">
        <v>70.522069999999999</v>
      </c>
      <c r="Q571">
        <v>45.767919999999997</v>
      </c>
      <c r="R571">
        <v>1334826190</v>
      </c>
      <c r="S571">
        <v>1.7405999999999999</v>
      </c>
      <c r="T571">
        <v>16939200000</v>
      </c>
    </row>
    <row r="572" spans="1:20" x14ac:dyDescent="0.2">
      <c r="A572" t="s">
        <v>124</v>
      </c>
      <c r="B572" t="s">
        <v>50</v>
      </c>
      <c r="C572">
        <v>2024</v>
      </c>
      <c r="D572">
        <v>23393400000</v>
      </c>
      <c r="E572">
        <v>11581119530</v>
      </c>
      <c r="F572">
        <v>11995500000</v>
      </c>
      <c r="G572">
        <v>1378200000</v>
      </c>
      <c r="H572">
        <v>6324400000</v>
      </c>
      <c r="I572">
        <v>4.6267217777281502</v>
      </c>
      <c r="J572">
        <v>16096015936</v>
      </c>
      <c r="K572">
        <v>880300000</v>
      </c>
      <c r="L572">
        <v>2.2746382610937599</v>
      </c>
      <c r="M572">
        <v>16.257631077361001</v>
      </c>
      <c r="N572">
        <v>77.5323049600715</v>
      </c>
      <c r="O572">
        <v>14.3746104803493</v>
      </c>
      <c r="P572">
        <v>68.694760000000002</v>
      </c>
      <c r="Q572">
        <v>43.172789999999999</v>
      </c>
      <c r="R572">
        <v>1633788240</v>
      </c>
      <c r="S572">
        <v>3.5554000000000001</v>
      </c>
      <c r="T572">
        <v>18338800000</v>
      </c>
    </row>
    <row r="573" spans="1:20" x14ac:dyDescent="0.2">
      <c r="A573" t="s">
        <v>124</v>
      </c>
      <c r="B573" t="s">
        <v>50</v>
      </c>
      <c r="C573">
        <v>2025</v>
      </c>
      <c r="D573">
        <v>27186600000</v>
      </c>
      <c r="E573">
        <v>11931777800</v>
      </c>
      <c r="F573">
        <v>13748500000</v>
      </c>
      <c r="G573">
        <v>2311500000</v>
      </c>
      <c r="H573">
        <v>5688600000</v>
      </c>
      <c r="I573">
        <v>5.0726362683047403</v>
      </c>
      <c r="J573">
        <v>18174347664</v>
      </c>
      <c r="K573">
        <v>1050900000</v>
      </c>
      <c r="L573">
        <v>6.9790327581126297</v>
      </c>
      <c r="M573">
        <v>16.898963672439798</v>
      </c>
      <c r="N573">
        <v>73.232274804311601</v>
      </c>
      <c r="O573">
        <v>47.523584121463998</v>
      </c>
      <c r="P573">
        <v>70.496650000000002</v>
      </c>
      <c r="Q573">
        <v>46.452080000000002</v>
      </c>
      <c r="R573">
        <v>1775019590</v>
      </c>
      <c r="S573">
        <v>3.3774999999999999</v>
      </c>
      <c r="T573">
        <v>21292500000</v>
      </c>
    </row>
    <row r="574" spans="1:20" x14ac:dyDescent="0.2">
      <c r="A574" t="s">
        <v>126</v>
      </c>
      <c r="B574" t="s">
        <v>51</v>
      </c>
      <c r="C574">
        <v>2004</v>
      </c>
      <c r="D574">
        <v>3108660000</v>
      </c>
      <c r="E574">
        <v>631114250</v>
      </c>
      <c r="F574">
        <v>772207000</v>
      </c>
      <c r="G574">
        <v>129093000</v>
      </c>
      <c r="H574">
        <v>1129365000</v>
      </c>
      <c r="I574" t="s">
        <v>18</v>
      </c>
      <c r="J574" t="s">
        <v>18</v>
      </c>
      <c r="K574">
        <v>67973000</v>
      </c>
      <c r="L574" t="s">
        <v>18</v>
      </c>
      <c r="M574" t="s">
        <v>18</v>
      </c>
      <c r="N574" t="s">
        <v>18</v>
      </c>
      <c r="O574" t="s">
        <v>18</v>
      </c>
      <c r="P574">
        <v>5.1425700000000001</v>
      </c>
      <c r="Q574">
        <v>2.1135600000000001</v>
      </c>
      <c r="R574">
        <v>283522400</v>
      </c>
      <c r="S574" t="s">
        <v>18</v>
      </c>
      <c r="T574">
        <v>1964166000</v>
      </c>
    </row>
    <row r="575" spans="1:20" x14ac:dyDescent="0.2">
      <c r="A575" t="s">
        <v>126</v>
      </c>
      <c r="B575" t="s">
        <v>51</v>
      </c>
      <c r="C575">
        <v>2005</v>
      </c>
      <c r="D575">
        <v>3533335000</v>
      </c>
      <c r="E575">
        <v>382365000</v>
      </c>
      <c r="F575">
        <v>698258000</v>
      </c>
      <c r="G575">
        <v>113395000</v>
      </c>
      <c r="H575">
        <v>1229151000</v>
      </c>
      <c r="I575" t="s">
        <v>18</v>
      </c>
      <c r="J575" t="s">
        <v>18</v>
      </c>
      <c r="K575">
        <v>171124000</v>
      </c>
      <c r="L575" t="s">
        <v>18</v>
      </c>
      <c r="M575">
        <v>12.598935093470599</v>
      </c>
      <c r="N575" t="s">
        <v>18</v>
      </c>
      <c r="O575" t="s">
        <v>18</v>
      </c>
      <c r="P575">
        <v>6.9443999999999999</v>
      </c>
      <c r="Q575">
        <v>4.2778799999999997</v>
      </c>
      <c r="R575">
        <v>227220000</v>
      </c>
      <c r="S575" t="s">
        <v>18</v>
      </c>
      <c r="T575">
        <v>1980960000</v>
      </c>
    </row>
    <row r="576" spans="1:20" x14ac:dyDescent="0.2">
      <c r="A576" t="s">
        <v>126</v>
      </c>
      <c r="B576" t="s">
        <v>51</v>
      </c>
      <c r="C576">
        <v>2006</v>
      </c>
      <c r="D576">
        <v>2936928000</v>
      </c>
      <c r="E576">
        <v>723716140</v>
      </c>
      <c r="F576">
        <v>621426000</v>
      </c>
      <c r="G576">
        <v>106143000</v>
      </c>
      <c r="H576">
        <v>971096000</v>
      </c>
      <c r="I576" t="s">
        <v>18</v>
      </c>
      <c r="J576">
        <v>2957280770</v>
      </c>
      <c r="K576">
        <v>133851000</v>
      </c>
      <c r="L576" t="s">
        <v>18</v>
      </c>
      <c r="M576">
        <v>6.72072775869563</v>
      </c>
      <c r="N576">
        <v>47.711602454841199</v>
      </c>
      <c r="O576" t="s">
        <v>18</v>
      </c>
      <c r="P576">
        <v>4.5444699999999996</v>
      </c>
      <c r="Q576">
        <v>2.3559199999999998</v>
      </c>
      <c r="R576">
        <v>284347430</v>
      </c>
      <c r="S576" t="s">
        <v>18</v>
      </c>
      <c r="T576">
        <v>1636848000</v>
      </c>
    </row>
    <row r="577" spans="1:20" x14ac:dyDescent="0.2">
      <c r="A577" t="s">
        <v>126</v>
      </c>
      <c r="B577" t="s">
        <v>51</v>
      </c>
      <c r="C577">
        <v>2007</v>
      </c>
      <c r="D577">
        <v>3285323000</v>
      </c>
      <c r="E577">
        <v>578860750</v>
      </c>
      <c r="F577">
        <v>396835000</v>
      </c>
      <c r="G577">
        <v>218914000</v>
      </c>
      <c r="H577">
        <v>1491227000</v>
      </c>
      <c r="I577" t="s">
        <v>18</v>
      </c>
      <c r="J577">
        <v>4190262133.75</v>
      </c>
      <c r="K577">
        <v>236555000</v>
      </c>
      <c r="L577" t="s">
        <v>18</v>
      </c>
      <c r="M577" t="s">
        <v>18</v>
      </c>
      <c r="N577">
        <v>39.331669085703098</v>
      </c>
      <c r="O577" t="s">
        <v>18</v>
      </c>
      <c r="P577">
        <v>2.1322800000000002</v>
      </c>
      <c r="Q577">
        <v>3.6611699999999998</v>
      </c>
      <c r="R577">
        <v>364487780</v>
      </c>
      <c r="S577" t="s">
        <v>18</v>
      </c>
      <c r="T577">
        <v>1930032000</v>
      </c>
    </row>
    <row r="578" spans="1:20" x14ac:dyDescent="0.2">
      <c r="A578" t="s">
        <v>126</v>
      </c>
      <c r="B578" t="s">
        <v>51</v>
      </c>
      <c r="C578">
        <v>2008</v>
      </c>
      <c r="D578">
        <v>3285323000</v>
      </c>
      <c r="E578">
        <v>462505560</v>
      </c>
      <c r="F578">
        <v>396835000</v>
      </c>
      <c r="G578">
        <v>218914000</v>
      </c>
      <c r="H578">
        <v>1491227000</v>
      </c>
      <c r="I578" t="s">
        <v>18</v>
      </c>
      <c r="J578">
        <v>1568125000</v>
      </c>
      <c r="K578">
        <v>236555000</v>
      </c>
      <c r="L578" t="s">
        <v>18</v>
      </c>
      <c r="M578">
        <v>0.98497864086834996</v>
      </c>
      <c r="N578">
        <v>54.147862251678497</v>
      </c>
      <c r="O578" t="s">
        <v>18</v>
      </c>
      <c r="P578">
        <v>4.4550700000000001</v>
      </c>
      <c r="Q578">
        <v>3.1116299999999999</v>
      </c>
      <c r="R578">
        <v>353507300</v>
      </c>
      <c r="S578" t="s">
        <v>18</v>
      </c>
      <c r="T578">
        <v>1930032000</v>
      </c>
    </row>
    <row r="579" spans="1:20" x14ac:dyDescent="0.2">
      <c r="A579" t="s">
        <v>126</v>
      </c>
      <c r="B579" t="s">
        <v>51</v>
      </c>
      <c r="C579">
        <v>2009</v>
      </c>
      <c r="D579">
        <v>3024926000</v>
      </c>
      <c r="E579">
        <v>249532360</v>
      </c>
      <c r="F579">
        <v>588344000</v>
      </c>
      <c r="G579">
        <v>254947000</v>
      </c>
      <c r="H579">
        <v>1290683000</v>
      </c>
      <c r="I579" t="s">
        <v>18</v>
      </c>
      <c r="J579">
        <v>2847600000</v>
      </c>
      <c r="K579">
        <v>130277000</v>
      </c>
      <c r="L579" t="s">
        <v>18</v>
      </c>
      <c r="M579">
        <v>8.3595679986659892</v>
      </c>
      <c r="N579">
        <v>59.996905168984398</v>
      </c>
      <c r="O579" t="s">
        <v>18</v>
      </c>
      <c r="P579">
        <v>5.3748399999999998</v>
      </c>
      <c r="Q579">
        <v>4.1461499999999996</v>
      </c>
      <c r="R579">
        <v>138365430</v>
      </c>
      <c r="S579">
        <v>66.288399999999996</v>
      </c>
      <c r="T579">
        <v>1920697000</v>
      </c>
    </row>
    <row r="580" spans="1:20" x14ac:dyDescent="0.2">
      <c r="A580" t="s">
        <v>126</v>
      </c>
      <c r="B580" t="s">
        <v>51</v>
      </c>
      <c r="C580">
        <v>2010</v>
      </c>
      <c r="D580">
        <v>2826693000</v>
      </c>
      <c r="E580">
        <v>240632830</v>
      </c>
      <c r="F580">
        <v>361874000</v>
      </c>
      <c r="G580">
        <v>185333000</v>
      </c>
      <c r="H580">
        <v>1314191000</v>
      </c>
      <c r="I580" t="s">
        <v>18</v>
      </c>
      <c r="J580">
        <v>4524000000</v>
      </c>
      <c r="K580">
        <v>84676000</v>
      </c>
      <c r="L580" t="s">
        <v>18</v>
      </c>
      <c r="M580" t="s">
        <v>18</v>
      </c>
      <c r="N580">
        <v>74.387770101700596</v>
      </c>
      <c r="O580" t="s">
        <v>18</v>
      </c>
      <c r="P580">
        <v>3.8593600000000001</v>
      </c>
      <c r="Q580">
        <v>2.1966899999999998</v>
      </c>
      <c r="R580">
        <v>323717570</v>
      </c>
      <c r="S580">
        <v>62.314</v>
      </c>
      <c r="T580">
        <v>1728601000</v>
      </c>
    </row>
    <row r="581" spans="1:20" x14ac:dyDescent="0.2">
      <c r="A581" t="s">
        <v>126</v>
      </c>
      <c r="B581" t="s">
        <v>51</v>
      </c>
      <c r="C581">
        <v>2011</v>
      </c>
      <c r="D581">
        <v>3511598000</v>
      </c>
      <c r="E581">
        <v>364842210</v>
      </c>
      <c r="F581">
        <v>485079000</v>
      </c>
      <c r="G581">
        <v>124716000</v>
      </c>
      <c r="H581">
        <v>1516961000</v>
      </c>
      <c r="I581" t="s">
        <v>18</v>
      </c>
      <c r="J581">
        <v>3705600000</v>
      </c>
      <c r="K581">
        <v>253119000</v>
      </c>
      <c r="L581" t="s">
        <v>18</v>
      </c>
      <c r="M581">
        <v>4.5658699875119799</v>
      </c>
      <c r="N581">
        <v>66.774068545081903</v>
      </c>
      <c r="O581" t="s">
        <v>18</v>
      </c>
      <c r="P581">
        <v>4.48163</v>
      </c>
      <c r="Q581">
        <v>3.18709</v>
      </c>
      <c r="R581">
        <v>405096650</v>
      </c>
      <c r="S581">
        <v>63.1599</v>
      </c>
      <c r="T581">
        <v>2060321000</v>
      </c>
    </row>
    <row r="582" spans="1:20" x14ac:dyDescent="0.2">
      <c r="A582" t="s">
        <v>126</v>
      </c>
      <c r="B582" t="s">
        <v>51</v>
      </c>
      <c r="C582">
        <v>2012</v>
      </c>
      <c r="D582">
        <v>3713160000</v>
      </c>
      <c r="E582">
        <v>199121240</v>
      </c>
      <c r="F582">
        <v>370532000</v>
      </c>
      <c r="G582">
        <v>103981000</v>
      </c>
      <c r="H582">
        <v>1667529000</v>
      </c>
      <c r="I582" t="s">
        <v>18</v>
      </c>
      <c r="J582">
        <v>4793400000</v>
      </c>
      <c r="K582">
        <v>334212000</v>
      </c>
      <c r="L582" t="s">
        <v>18</v>
      </c>
      <c r="M582" t="s">
        <v>18</v>
      </c>
      <c r="N582">
        <v>79.662381727922494</v>
      </c>
      <c r="O582" t="s">
        <v>18</v>
      </c>
      <c r="P582">
        <v>3.7962699999999998</v>
      </c>
      <c r="Q582">
        <v>2.8535499999999998</v>
      </c>
      <c r="R582">
        <v>369105200</v>
      </c>
      <c r="S582">
        <v>71.396299999999997</v>
      </c>
      <c r="T582">
        <v>2092240000</v>
      </c>
    </row>
    <row r="583" spans="1:20" x14ac:dyDescent="0.2">
      <c r="A583" t="s">
        <v>126</v>
      </c>
      <c r="B583" t="s">
        <v>51</v>
      </c>
      <c r="C583">
        <v>2013</v>
      </c>
      <c r="D583">
        <v>3667899000</v>
      </c>
      <c r="E583">
        <v>229114430</v>
      </c>
      <c r="F583">
        <v>353908000</v>
      </c>
      <c r="G583">
        <v>131427000</v>
      </c>
      <c r="H583">
        <v>1751664000</v>
      </c>
      <c r="I583" t="s">
        <v>18</v>
      </c>
      <c r="J583">
        <v>3948600000</v>
      </c>
      <c r="K583">
        <v>237905000</v>
      </c>
      <c r="L583" t="s">
        <v>18</v>
      </c>
      <c r="M583">
        <v>10.6358118805275</v>
      </c>
      <c r="N583">
        <v>74.945916773399006</v>
      </c>
      <c r="O583" t="s">
        <v>18</v>
      </c>
      <c r="P583">
        <v>199.01129</v>
      </c>
      <c r="Q583">
        <v>197.57048</v>
      </c>
      <c r="R583">
        <v>295985000</v>
      </c>
      <c r="S583">
        <v>68.283100000000005</v>
      </c>
      <c r="T583">
        <v>2159713000</v>
      </c>
    </row>
    <row r="584" spans="1:20" x14ac:dyDescent="0.2">
      <c r="A584" t="s">
        <v>126</v>
      </c>
      <c r="B584" t="s">
        <v>51</v>
      </c>
      <c r="C584">
        <v>2014</v>
      </c>
      <c r="D584">
        <v>3512297000</v>
      </c>
      <c r="E584">
        <v>280963380</v>
      </c>
      <c r="F584">
        <v>314235000</v>
      </c>
      <c r="G584">
        <v>99245000</v>
      </c>
      <c r="H584">
        <v>1677141000</v>
      </c>
      <c r="I584">
        <v>0.64759637124642</v>
      </c>
      <c r="J584">
        <v>3654000000</v>
      </c>
      <c r="K584">
        <v>197601000</v>
      </c>
      <c r="L584">
        <v>11.1176126002741</v>
      </c>
      <c r="M584">
        <v>6.34153959840003</v>
      </c>
      <c r="N584">
        <v>70.683395186393696</v>
      </c>
      <c r="O584">
        <v>-13.3459120171674</v>
      </c>
      <c r="P584">
        <v>4.5738399999999997</v>
      </c>
      <c r="Q584">
        <v>2.84395</v>
      </c>
      <c r="R584">
        <v>260802110</v>
      </c>
      <c r="S584">
        <v>58.242199999999997</v>
      </c>
      <c r="T584">
        <v>2037663000</v>
      </c>
    </row>
    <row r="585" spans="1:20" x14ac:dyDescent="0.2">
      <c r="A585" t="s">
        <v>126</v>
      </c>
      <c r="B585" t="s">
        <v>51</v>
      </c>
      <c r="C585">
        <v>2015</v>
      </c>
      <c r="D585">
        <v>3851368000</v>
      </c>
      <c r="E585">
        <v>375708080</v>
      </c>
      <c r="F585">
        <v>388084000</v>
      </c>
      <c r="G585">
        <v>89791000</v>
      </c>
      <c r="H585">
        <v>1704551000</v>
      </c>
      <c r="I585">
        <v>0.76128678865517996</v>
      </c>
      <c r="J585">
        <v>4338880000</v>
      </c>
      <c r="K585">
        <v>163658000</v>
      </c>
      <c r="L585">
        <v>7.7581032170205999</v>
      </c>
      <c r="M585">
        <v>0.328797997968855</v>
      </c>
      <c r="N585">
        <v>68.501004612539901</v>
      </c>
      <c r="O585">
        <v>43.540422543331402</v>
      </c>
      <c r="P585">
        <v>4.8003900000000002</v>
      </c>
      <c r="Q585">
        <v>2.8028200000000001</v>
      </c>
      <c r="R585">
        <v>314944930</v>
      </c>
      <c r="S585">
        <v>50.653700000000001</v>
      </c>
      <c r="T585">
        <v>2138217000</v>
      </c>
    </row>
    <row r="586" spans="1:20" x14ac:dyDescent="0.2">
      <c r="A586" t="s">
        <v>126</v>
      </c>
      <c r="B586" t="s">
        <v>51</v>
      </c>
      <c r="C586">
        <v>2016</v>
      </c>
      <c r="D586">
        <v>4030075000</v>
      </c>
      <c r="E586">
        <v>347836090</v>
      </c>
      <c r="F586">
        <v>410169000</v>
      </c>
      <c r="G586">
        <v>74486000</v>
      </c>
      <c r="H586">
        <v>1732393000</v>
      </c>
      <c r="I586">
        <v>0.67646739225063401</v>
      </c>
      <c r="J586">
        <v>6221600000</v>
      </c>
      <c r="K586">
        <v>160736000</v>
      </c>
      <c r="L586">
        <v>6.9966305150302102</v>
      </c>
      <c r="M586">
        <v>5.5479164970209496</v>
      </c>
      <c r="N586">
        <v>68.699115897643793</v>
      </c>
      <c r="O586">
        <v>-4.8415147732001698</v>
      </c>
      <c r="P586">
        <v>4.8424199999999997</v>
      </c>
      <c r="Q586">
        <v>2.5857800000000002</v>
      </c>
      <c r="R586">
        <v>337568000</v>
      </c>
      <c r="S586">
        <v>49.838500000000003</v>
      </c>
      <c r="T586">
        <v>2195139000</v>
      </c>
    </row>
    <row r="587" spans="1:20" x14ac:dyDescent="0.2">
      <c r="A587" t="s">
        <v>126</v>
      </c>
      <c r="B587" t="s">
        <v>51</v>
      </c>
      <c r="C587">
        <v>2017</v>
      </c>
      <c r="D587">
        <v>4145751000</v>
      </c>
      <c r="E587">
        <v>609181000</v>
      </c>
      <c r="F587">
        <v>425180000</v>
      </c>
      <c r="G587">
        <v>84460000</v>
      </c>
      <c r="H587">
        <v>1789598000</v>
      </c>
      <c r="I587">
        <v>1.0281418811127701</v>
      </c>
      <c r="J587">
        <v>8721440000</v>
      </c>
      <c r="K587">
        <v>191664000</v>
      </c>
      <c r="L587">
        <v>10.7880229829368</v>
      </c>
      <c r="M587">
        <v>6.2454632661642</v>
      </c>
      <c r="N587">
        <v>69.435377267123201</v>
      </c>
      <c r="O587">
        <v>84.306028985507197</v>
      </c>
      <c r="P587">
        <v>4.8268199999999997</v>
      </c>
      <c r="Q587">
        <v>3.1456</v>
      </c>
      <c r="R587">
        <v>393299460</v>
      </c>
      <c r="S587">
        <v>62</v>
      </c>
      <c r="T587">
        <v>2273224000</v>
      </c>
    </row>
    <row r="588" spans="1:20" x14ac:dyDescent="0.2">
      <c r="A588" t="s">
        <v>126</v>
      </c>
      <c r="B588" t="s">
        <v>51</v>
      </c>
      <c r="C588">
        <v>2018</v>
      </c>
      <c r="D588">
        <v>5115661000</v>
      </c>
      <c r="E588">
        <v>700901860</v>
      </c>
      <c r="F588">
        <v>1007972000</v>
      </c>
      <c r="G588">
        <v>168115000</v>
      </c>
      <c r="H588">
        <v>1803034000</v>
      </c>
      <c r="I588">
        <v>0.85435988452043099</v>
      </c>
      <c r="J588">
        <v>9442048000</v>
      </c>
      <c r="K588">
        <v>229144000</v>
      </c>
      <c r="L588">
        <v>14.572783185094</v>
      </c>
      <c r="M588">
        <v>8.2461901647007601</v>
      </c>
      <c r="N588">
        <v>65.883099173739893</v>
      </c>
      <c r="O588">
        <v>57.861825690686402</v>
      </c>
      <c r="P588">
        <v>4.2321099999999996</v>
      </c>
      <c r="Q588">
        <v>2.6387800000000001</v>
      </c>
      <c r="R588">
        <v>515796800</v>
      </c>
      <c r="S588">
        <v>64.599999999999994</v>
      </c>
      <c r="T588">
        <v>2870609000</v>
      </c>
    </row>
    <row r="589" spans="1:20" x14ac:dyDescent="0.2">
      <c r="A589" t="s">
        <v>126</v>
      </c>
      <c r="B589" t="s">
        <v>51</v>
      </c>
      <c r="C589">
        <v>2019</v>
      </c>
      <c r="D589">
        <v>6053310000</v>
      </c>
      <c r="E589">
        <v>1280881060</v>
      </c>
      <c r="F589">
        <v>1145606000</v>
      </c>
      <c r="G589">
        <v>285079000</v>
      </c>
      <c r="H589">
        <v>2609409000</v>
      </c>
      <c r="I589">
        <v>1.80571578249063</v>
      </c>
      <c r="J589">
        <v>9604672000</v>
      </c>
      <c r="K589">
        <v>327843000</v>
      </c>
      <c r="L589">
        <v>11.6481094309508</v>
      </c>
      <c r="M589">
        <v>11.1265132191518</v>
      </c>
      <c r="N589">
        <v>73.0459738017761</v>
      </c>
      <c r="O589">
        <v>76.929695243520399</v>
      </c>
      <c r="P589">
        <v>5.1363200000000004</v>
      </c>
      <c r="Q589">
        <v>3.6303000000000001</v>
      </c>
      <c r="R589">
        <v>484698880</v>
      </c>
      <c r="S589">
        <v>71.8</v>
      </c>
      <c r="T589">
        <v>3804942000</v>
      </c>
    </row>
    <row r="590" spans="1:20" x14ac:dyDescent="0.2">
      <c r="A590" t="s">
        <v>126</v>
      </c>
      <c r="B590" t="s">
        <v>51</v>
      </c>
      <c r="C590">
        <v>2020</v>
      </c>
      <c r="D590">
        <v>7023390000</v>
      </c>
      <c r="E590">
        <v>1589961750</v>
      </c>
      <c r="F590">
        <v>1715146000</v>
      </c>
      <c r="G590">
        <v>271724000</v>
      </c>
      <c r="H590">
        <v>2593467000</v>
      </c>
      <c r="I590">
        <v>2.2147058807210001</v>
      </c>
      <c r="J590">
        <v>9508576000</v>
      </c>
      <c r="K590">
        <v>299220000</v>
      </c>
      <c r="L590">
        <v>11.3444568394023</v>
      </c>
      <c r="M590">
        <v>24.870922228340699</v>
      </c>
      <c r="N590">
        <v>74.558738252830693</v>
      </c>
      <c r="O590">
        <v>-24.746277056849401</v>
      </c>
      <c r="P590">
        <v>4.0242699999999996</v>
      </c>
      <c r="Q590">
        <v>2.7246000000000001</v>
      </c>
      <c r="R590">
        <v>460932470</v>
      </c>
      <c r="S590">
        <v>75</v>
      </c>
      <c r="T590">
        <v>4375610000</v>
      </c>
    </row>
    <row r="591" spans="1:20" x14ac:dyDescent="0.2">
      <c r="A591" t="s">
        <v>126</v>
      </c>
      <c r="B591" t="s">
        <v>51</v>
      </c>
      <c r="C591">
        <v>2021</v>
      </c>
      <c r="D591">
        <v>8340893000</v>
      </c>
      <c r="E591">
        <v>1435536000</v>
      </c>
      <c r="F591">
        <v>2424331000</v>
      </c>
      <c r="G591">
        <v>1010307000</v>
      </c>
      <c r="H591">
        <v>2557182000</v>
      </c>
      <c r="I591">
        <v>1.1347581225768499</v>
      </c>
      <c r="J591">
        <v>10644480000</v>
      </c>
      <c r="K591">
        <v>135927000</v>
      </c>
      <c r="L591">
        <v>6.0657415367560397</v>
      </c>
      <c r="M591">
        <v>14.086196034009101</v>
      </c>
      <c r="N591">
        <v>73.7336854250117</v>
      </c>
      <c r="O591">
        <v>17.954602809706302</v>
      </c>
      <c r="P591">
        <v>3.9639600000000002</v>
      </c>
      <c r="Q591">
        <v>2.7737599999999998</v>
      </c>
      <c r="R591">
        <v>986270830</v>
      </c>
      <c r="S591">
        <v>77</v>
      </c>
      <c r="T591">
        <v>5046187000</v>
      </c>
    </row>
    <row r="592" spans="1:20" x14ac:dyDescent="0.2">
      <c r="A592" t="s">
        <v>126</v>
      </c>
      <c r="B592" t="s">
        <v>51</v>
      </c>
      <c r="C592">
        <v>2022</v>
      </c>
      <c r="D592">
        <v>9045241000</v>
      </c>
      <c r="E592">
        <v>1248923070</v>
      </c>
      <c r="F592">
        <v>2154884000</v>
      </c>
      <c r="G592">
        <v>1194437000</v>
      </c>
      <c r="H592">
        <v>3112882000</v>
      </c>
      <c r="I592">
        <v>1.1717996595550999</v>
      </c>
      <c r="J592">
        <v>8569792000</v>
      </c>
      <c r="K592">
        <v>626949000</v>
      </c>
      <c r="L592">
        <v>3.8321673929868298</v>
      </c>
      <c r="M592">
        <v>7.6701068377541999</v>
      </c>
      <c r="N592">
        <v>75.964517495108794</v>
      </c>
      <c r="O592">
        <v>46.554981559536401</v>
      </c>
      <c r="P592">
        <v>5.2305700000000002</v>
      </c>
      <c r="Q592">
        <v>4.0684199999999997</v>
      </c>
      <c r="R592">
        <v>854803190</v>
      </c>
      <c r="S592">
        <v>79</v>
      </c>
      <c r="T592">
        <v>5322158000</v>
      </c>
    </row>
    <row r="593" spans="1:20" x14ac:dyDescent="0.2">
      <c r="A593" t="s">
        <v>126</v>
      </c>
      <c r="B593" t="s">
        <v>51</v>
      </c>
      <c r="C593">
        <v>2023</v>
      </c>
      <c r="D593">
        <v>9942372000</v>
      </c>
      <c r="E593">
        <v>1438170690</v>
      </c>
      <c r="F593">
        <v>2343438000</v>
      </c>
      <c r="G593">
        <v>1239869000</v>
      </c>
      <c r="H593">
        <v>3516481000</v>
      </c>
      <c r="I593">
        <v>1.42297155462495</v>
      </c>
      <c r="J593">
        <v>5953024000</v>
      </c>
      <c r="K593">
        <v>572401000</v>
      </c>
      <c r="L593">
        <v>8.2068269355430008</v>
      </c>
      <c r="M593">
        <v>5.4565997701217803</v>
      </c>
      <c r="N593">
        <v>79.224733153555107</v>
      </c>
      <c r="O593">
        <v>69.434316844628498</v>
      </c>
      <c r="P593">
        <v>4.4874000000000001</v>
      </c>
      <c r="Q593">
        <v>3.3633799999999998</v>
      </c>
      <c r="R593">
        <v>688371500</v>
      </c>
      <c r="S593">
        <v>78</v>
      </c>
      <c r="T593">
        <v>5909488000</v>
      </c>
    </row>
    <row r="594" spans="1:20" x14ac:dyDescent="0.2">
      <c r="A594" t="s">
        <v>126</v>
      </c>
      <c r="B594" t="s">
        <v>51</v>
      </c>
      <c r="C594">
        <v>2024</v>
      </c>
      <c r="D594">
        <v>9965670000</v>
      </c>
      <c r="E594">
        <v>1549839070</v>
      </c>
      <c r="F594">
        <v>2748143000</v>
      </c>
      <c r="G594">
        <v>1515490000</v>
      </c>
      <c r="H594">
        <v>3661072000</v>
      </c>
      <c r="I594">
        <v>2.1808707785591599</v>
      </c>
      <c r="J594">
        <v>2513280000</v>
      </c>
      <c r="K594">
        <v>377103000</v>
      </c>
      <c r="L594">
        <v>1.70248885691177</v>
      </c>
      <c r="M594">
        <v>12.191924713020899</v>
      </c>
      <c r="N594">
        <v>76.609352028014897</v>
      </c>
      <c r="O594">
        <v>-25.4048445820433</v>
      </c>
      <c r="P594">
        <v>5.3235400000000004</v>
      </c>
      <c r="Q594">
        <v>3.68919</v>
      </c>
      <c r="R594">
        <v>317304270</v>
      </c>
      <c r="S594">
        <v>72.997699999999995</v>
      </c>
      <c r="T594">
        <v>6445573000</v>
      </c>
    </row>
    <row r="595" spans="1:20" x14ac:dyDescent="0.2">
      <c r="A595" t="s">
        <v>126</v>
      </c>
      <c r="B595" t="s">
        <v>51</v>
      </c>
      <c r="C595">
        <v>2025</v>
      </c>
      <c r="D595">
        <v>9411505000</v>
      </c>
      <c r="E595">
        <v>1753258360</v>
      </c>
      <c r="F595">
        <v>3436739000</v>
      </c>
      <c r="G595">
        <v>2012523000</v>
      </c>
      <c r="H595">
        <v>1937942000</v>
      </c>
      <c r="I595">
        <v>1.9706597691563901</v>
      </c>
      <c r="J595">
        <v>3708320000</v>
      </c>
      <c r="K595">
        <v>-1531076000</v>
      </c>
      <c r="L595">
        <v>6.8905912886005796</v>
      </c>
      <c r="M595">
        <v>-0.19163241716349</v>
      </c>
      <c r="N595">
        <v>75.059539958010106</v>
      </c>
      <c r="O595">
        <v>-24.523195851794402</v>
      </c>
      <c r="P595">
        <v>5.4382099999999998</v>
      </c>
      <c r="Q595">
        <v>3.5182500000000001</v>
      </c>
      <c r="R595">
        <v>576214800</v>
      </c>
      <c r="S595">
        <v>73.997299999999996</v>
      </c>
      <c r="T595">
        <v>5358496000</v>
      </c>
    </row>
    <row r="596" spans="1:20" x14ac:dyDescent="0.2">
      <c r="A596" t="s">
        <v>127</v>
      </c>
      <c r="B596" t="s">
        <v>52</v>
      </c>
      <c r="C596">
        <v>2004</v>
      </c>
      <c r="D596" t="s">
        <v>18</v>
      </c>
      <c r="E596" t="s">
        <v>18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</row>
    <row r="597" spans="1:20" x14ac:dyDescent="0.2">
      <c r="A597" t="s">
        <v>127</v>
      </c>
      <c r="B597" t="s">
        <v>52</v>
      </c>
      <c r="C597">
        <v>2005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  <c r="S597" t="s">
        <v>18</v>
      </c>
      <c r="T597" t="s">
        <v>18</v>
      </c>
    </row>
    <row r="598" spans="1:20" x14ac:dyDescent="0.2">
      <c r="A598" t="s">
        <v>127</v>
      </c>
      <c r="B598" t="s">
        <v>52</v>
      </c>
      <c r="C598">
        <v>2006</v>
      </c>
      <c r="D598" t="s">
        <v>18</v>
      </c>
      <c r="E598" t="s">
        <v>18</v>
      </c>
      <c r="F598" t="s">
        <v>18</v>
      </c>
      <c r="G598" t="s">
        <v>18</v>
      </c>
      <c r="H598" t="s">
        <v>18</v>
      </c>
      <c r="I598" t="s">
        <v>18</v>
      </c>
      <c r="J598">
        <v>882000000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</row>
    <row r="599" spans="1:20" x14ac:dyDescent="0.2">
      <c r="A599" t="s">
        <v>127</v>
      </c>
      <c r="B599" t="s">
        <v>52</v>
      </c>
      <c r="C599">
        <v>2007</v>
      </c>
      <c r="D599" t="s">
        <v>18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>
        <v>243180000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  <c r="S599" t="s">
        <v>18</v>
      </c>
      <c r="T599" t="s">
        <v>18</v>
      </c>
    </row>
    <row r="600" spans="1:20" x14ac:dyDescent="0.2">
      <c r="A600" t="s">
        <v>127</v>
      </c>
      <c r="B600" t="s">
        <v>52</v>
      </c>
      <c r="C600">
        <v>2008</v>
      </c>
      <c r="D600">
        <v>543248000</v>
      </c>
      <c r="E600" t="s">
        <v>18</v>
      </c>
      <c r="F600">
        <v>40131000</v>
      </c>
      <c r="G600">
        <v>50028000</v>
      </c>
      <c r="H600">
        <v>318777000</v>
      </c>
      <c r="I600" t="s">
        <v>18</v>
      </c>
      <c r="J600">
        <v>51030000</v>
      </c>
      <c r="K600">
        <v>-246353000</v>
      </c>
      <c r="L600" t="s">
        <v>18</v>
      </c>
      <c r="M600" t="s">
        <v>18</v>
      </c>
      <c r="N600" t="s">
        <v>18</v>
      </c>
      <c r="O600" t="s">
        <v>18</v>
      </c>
      <c r="P600">
        <v>1.2173700000000001</v>
      </c>
      <c r="Q600">
        <v>-6.1539999999999999</v>
      </c>
      <c r="R600" t="s">
        <v>18</v>
      </c>
      <c r="S600" t="s">
        <v>18</v>
      </c>
      <c r="T600">
        <v>358908000</v>
      </c>
    </row>
    <row r="601" spans="1:20" x14ac:dyDescent="0.2">
      <c r="A601" t="s">
        <v>127</v>
      </c>
      <c r="B601" t="s">
        <v>52</v>
      </c>
      <c r="C601">
        <v>2009</v>
      </c>
      <c r="D601">
        <v>491075000</v>
      </c>
      <c r="E601" t="s">
        <v>18</v>
      </c>
      <c r="F601">
        <v>31151000</v>
      </c>
      <c r="G601">
        <v>39236000</v>
      </c>
      <c r="H601">
        <v>325049000</v>
      </c>
      <c r="I601" t="s">
        <v>18</v>
      </c>
      <c r="J601">
        <v>216720000</v>
      </c>
      <c r="K601">
        <v>9075000</v>
      </c>
      <c r="L601" t="s">
        <v>18</v>
      </c>
      <c r="M601" t="s">
        <v>18</v>
      </c>
      <c r="N601" t="s">
        <v>18</v>
      </c>
      <c r="O601" t="s">
        <v>18</v>
      </c>
      <c r="P601">
        <v>2.4967899999999998</v>
      </c>
      <c r="Q601">
        <v>0.52117000000000002</v>
      </c>
      <c r="R601" t="s">
        <v>18</v>
      </c>
      <c r="S601">
        <v>0</v>
      </c>
      <c r="T601">
        <v>356200000</v>
      </c>
    </row>
    <row r="602" spans="1:20" x14ac:dyDescent="0.2">
      <c r="A602" t="s">
        <v>127</v>
      </c>
      <c r="B602" t="s">
        <v>52</v>
      </c>
      <c r="C602">
        <v>2010</v>
      </c>
      <c r="D602">
        <v>485558000</v>
      </c>
      <c r="E602" t="s">
        <v>18</v>
      </c>
      <c r="F602">
        <v>19684000</v>
      </c>
      <c r="G602">
        <v>30520000</v>
      </c>
      <c r="H602">
        <v>311094000</v>
      </c>
      <c r="I602" t="s">
        <v>18</v>
      </c>
      <c r="J602">
        <v>238770000</v>
      </c>
      <c r="K602">
        <v>-7263000</v>
      </c>
      <c r="L602" t="s">
        <v>18</v>
      </c>
      <c r="M602">
        <v>1.9621831692749201</v>
      </c>
      <c r="N602" t="s">
        <v>18</v>
      </c>
      <c r="O602" t="s">
        <v>18</v>
      </c>
      <c r="P602">
        <v>2.3523499999999999</v>
      </c>
      <c r="Q602">
        <v>-0.18975</v>
      </c>
      <c r="R602" t="s">
        <v>18</v>
      </c>
      <c r="S602">
        <v>0</v>
      </c>
      <c r="T602">
        <v>330778000</v>
      </c>
    </row>
    <row r="603" spans="1:20" x14ac:dyDescent="0.2">
      <c r="A603" t="s">
        <v>127</v>
      </c>
      <c r="B603" t="s">
        <v>52</v>
      </c>
      <c r="C603">
        <v>2011</v>
      </c>
      <c r="D603">
        <v>608404000</v>
      </c>
      <c r="E603" t="s">
        <v>18</v>
      </c>
      <c r="F603">
        <v>88219000</v>
      </c>
      <c r="G603">
        <v>32542000</v>
      </c>
      <c r="H603">
        <v>329137000</v>
      </c>
      <c r="I603" t="s">
        <v>18</v>
      </c>
      <c r="J603">
        <v>185850000</v>
      </c>
      <c r="K603">
        <v>7242000</v>
      </c>
      <c r="L603" t="s">
        <v>18</v>
      </c>
      <c r="M603" t="s">
        <v>18</v>
      </c>
      <c r="N603" t="s">
        <v>18</v>
      </c>
      <c r="O603" t="s">
        <v>18</v>
      </c>
      <c r="P603">
        <v>91.714150000000004</v>
      </c>
      <c r="Q603">
        <v>89.314269999999993</v>
      </c>
      <c r="R603" t="s">
        <v>18</v>
      </c>
      <c r="S603">
        <v>0</v>
      </c>
      <c r="T603">
        <v>420714000</v>
      </c>
    </row>
    <row r="604" spans="1:20" x14ac:dyDescent="0.2">
      <c r="A604" t="s">
        <v>127</v>
      </c>
      <c r="B604" t="s">
        <v>52</v>
      </c>
      <c r="C604">
        <v>2012</v>
      </c>
      <c r="D604" t="s">
        <v>18</v>
      </c>
      <c r="E604">
        <v>84500000</v>
      </c>
      <c r="F604" t="s">
        <v>18</v>
      </c>
      <c r="G604" t="s">
        <v>18</v>
      </c>
      <c r="H604" t="s">
        <v>18</v>
      </c>
      <c r="I604" t="s">
        <v>18</v>
      </c>
      <c r="J604">
        <v>77238000</v>
      </c>
      <c r="K604" t="s">
        <v>18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>
        <v>9600000</v>
      </c>
      <c r="S604">
        <v>0</v>
      </c>
      <c r="T604" t="s">
        <v>18</v>
      </c>
    </row>
    <row r="605" spans="1:20" x14ac:dyDescent="0.2">
      <c r="A605" t="s">
        <v>127</v>
      </c>
      <c r="B605" t="s">
        <v>52</v>
      </c>
      <c r="C605">
        <v>2013</v>
      </c>
      <c r="D605">
        <v>410413000</v>
      </c>
      <c r="E605">
        <v>116100000</v>
      </c>
      <c r="F605">
        <v>144302000</v>
      </c>
      <c r="G605">
        <v>13761000</v>
      </c>
      <c r="H605">
        <v>177598000</v>
      </c>
      <c r="I605">
        <v>7.0635974740272998</v>
      </c>
      <c r="J605">
        <v>107226000</v>
      </c>
      <c r="K605">
        <v>-125939000</v>
      </c>
      <c r="L605">
        <v>4.8839527267549503</v>
      </c>
      <c r="M605">
        <v>31.9573255231704</v>
      </c>
      <c r="N605" t="s">
        <v>18</v>
      </c>
      <c r="O605">
        <v>-83.159870800320206</v>
      </c>
      <c r="P605">
        <v>1.02789</v>
      </c>
      <c r="Q605">
        <v>-2.7218</v>
      </c>
      <c r="R605">
        <v>-6500000</v>
      </c>
      <c r="S605">
        <v>0</v>
      </c>
      <c r="T605">
        <v>322610000</v>
      </c>
    </row>
    <row r="606" spans="1:20" x14ac:dyDescent="0.2">
      <c r="A606" t="s">
        <v>127</v>
      </c>
      <c r="B606" t="s">
        <v>52</v>
      </c>
      <c r="C606">
        <v>2014</v>
      </c>
      <c r="D606">
        <v>302658000</v>
      </c>
      <c r="E606">
        <v>10190000</v>
      </c>
      <c r="F606">
        <v>52388000</v>
      </c>
      <c r="G606">
        <v>21096000</v>
      </c>
      <c r="H606">
        <v>183090000</v>
      </c>
      <c r="I606">
        <v>0.334098360655738</v>
      </c>
      <c r="J606">
        <v>80073000</v>
      </c>
      <c r="K606">
        <v>5435000</v>
      </c>
      <c r="L606">
        <v>1.8642906100068499</v>
      </c>
      <c r="M606">
        <v>-21.9521786011518</v>
      </c>
      <c r="N606" t="s">
        <v>18</v>
      </c>
      <c r="O606">
        <v>129.017917284117</v>
      </c>
      <c r="P606">
        <v>4.8091600000000003</v>
      </c>
      <c r="Q606">
        <v>1.31009</v>
      </c>
      <c r="R606">
        <v>8300000</v>
      </c>
      <c r="S606">
        <v>0</v>
      </c>
      <c r="T606">
        <v>235932000</v>
      </c>
    </row>
    <row r="607" spans="1:20" x14ac:dyDescent="0.2">
      <c r="A607" t="s">
        <v>127</v>
      </c>
      <c r="B607" t="s">
        <v>52</v>
      </c>
      <c r="C607">
        <v>2015</v>
      </c>
      <c r="D607">
        <v>296343000</v>
      </c>
      <c r="E607">
        <v>-40200000</v>
      </c>
      <c r="F607">
        <v>18837000</v>
      </c>
      <c r="G607">
        <v>100000</v>
      </c>
      <c r="H607">
        <v>209131000</v>
      </c>
      <c r="I607">
        <v>-0.66777408637873803</v>
      </c>
      <c r="J607">
        <v>349650000</v>
      </c>
      <c r="K607">
        <v>26859000</v>
      </c>
      <c r="L607">
        <v>1.6848523748395401</v>
      </c>
      <c r="M607">
        <v>-17.206032406682802</v>
      </c>
      <c r="N607" t="s">
        <v>18</v>
      </c>
      <c r="O607">
        <v>-29.723331853824501</v>
      </c>
      <c r="P607">
        <v>7.6526500000000004</v>
      </c>
      <c r="Q607">
        <v>4.0619800000000001</v>
      </c>
      <c r="R607">
        <v>36200000</v>
      </c>
      <c r="S607">
        <v>0</v>
      </c>
      <c r="T607">
        <v>228501000</v>
      </c>
    </row>
    <row r="608" spans="1:20" x14ac:dyDescent="0.2">
      <c r="A608" t="s">
        <v>127</v>
      </c>
      <c r="B608" t="s">
        <v>52</v>
      </c>
      <c r="C608">
        <v>2016</v>
      </c>
      <c r="D608">
        <v>323013000</v>
      </c>
      <c r="E608" t="s">
        <v>18</v>
      </c>
      <c r="F608">
        <v>11883000</v>
      </c>
      <c r="G608">
        <v>77483000</v>
      </c>
      <c r="H608">
        <v>253592000</v>
      </c>
      <c r="I608" t="s">
        <v>18</v>
      </c>
      <c r="J608">
        <v>420147000</v>
      </c>
      <c r="K608">
        <v>48946000</v>
      </c>
      <c r="L608">
        <v>2.3720349563046201</v>
      </c>
      <c r="M608">
        <v>-8.1669794394208992</v>
      </c>
      <c r="N608" t="s">
        <v>18</v>
      </c>
      <c r="O608">
        <v>-7.3502161828289099</v>
      </c>
      <c r="P608">
        <v>10.767060000000001</v>
      </c>
      <c r="Q608">
        <v>7.5489499999999996</v>
      </c>
      <c r="R608">
        <v>37500000</v>
      </c>
      <c r="S608">
        <v>0</v>
      </c>
      <c r="T608">
        <v>266208000</v>
      </c>
    </row>
    <row r="609" spans="1:20" x14ac:dyDescent="0.2">
      <c r="A609" t="s">
        <v>127</v>
      </c>
      <c r="B609" t="s">
        <v>52</v>
      </c>
      <c r="C609">
        <v>2017</v>
      </c>
      <c r="D609">
        <v>373079000</v>
      </c>
      <c r="E609" t="s">
        <v>18</v>
      </c>
      <c r="F609">
        <v>1910000</v>
      </c>
      <c r="G609">
        <v>54722000</v>
      </c>
      <c r="H609">
        <v>295375000</v>
      </c>
      <c r="I609" t="s">
        <v>18</v>
      </c>
      <c r="J609">
        <v>502551000</v>
      </c>
      <c r="K609">
        <v>51782000</v>
      </c>
      <c r="L609">
        <v>3.1909110575194299</v>
      </c>
      <c r="M609" t="s">
        <v>18</v>
      </c>
      <c r="N609" t="s">
        <v>18</v>
      </c>
      <c r="O609">
        <v>138.728229613152</v>
      </c>
      <c r="P609">
        <v>12.566179999999999</v>
      </c>
      <c r="Q609">
        <v>9.5837000000000003</v>
      </c>
      <c r="R609">
        <v>37900000</v>
      </c>
      <c r="S609">
        <v>0</v>
      </c>
      <c r="T609">
        <v>298301000</v>
      </c>
    </row>
    <row r="610" spans="1:20" x14ac:dyDescent="0.2">
      <c r="A610" t="s">
        <v>127</v>
      </c>
      <c r="B610" t="s">
        <v>52</v>
      </c>
      <c r="C610">
        <v>2018</v>
      </c>
      <c r="D610">
        <v>365989000</v>
      </c>
      <c r="E610">
        <v>-71100000</v>
      </c>
      <c r="F610">
        <v>380000</v>
      </c>
      <c r="G610">
        <v>28516000</v>
      </c>
      <c r="H610">
        <v>299022000</v>
      </c>
      <c r="I610">
        <v>-1.5422993492407799</v>
      </c>
      <c r="J610">
        <v>440370000</v>
      </c>
      <c r="K610">
        <v>15102000</v>
      </c>
      <c r="L610">
        <v>-4.4662795891022997E-2</v>
      </c>
      <c r="M610">
        <v>-6.9481046648943803</v>
      </c>
      <c r="N610" t="s">
        <v>18</v>
      </c>
      <c r="O610">
        <v>78.5856020319073</v>
      </c>
      <c r="P610">
        <v>6.4257400000000002</v>
      </c>
      <c r="Q610">
        <v>3.1627200000000002</v>
      </c>
      <c r="R610">
        <v>29123000</v>
      </c>
      <c r="S610">
        <v>0</v>
      </c>
      <c r="T610">
        <v>300597000</v>
      </c>
    </row>
    <row r="611" spans="1:20" x14ac:dyDescent="0.2">
      <c r="A611" t="s">
        <v>127</v>
      </c>
      <c r="B611" t="s">
        <v>52</v>
      </c>
      <c r="C611">
        <v>2019</v>
      </c>
      <c r="D611">
        <v>424945000</v>
      </c>
      <c r="E611" t="s">
        <v>18</v>
      </c>
      <c r="F611">
        <v>10057000</v>
      </c>
      <c r="G611">
        <v>68025000</v>
      </c>
      <c r="H611">
        <v>339210000</v>
      </c>
      <c r="I611" t="s">
        <v>18</v>
      </c>
      <c r="J611">
        <v>660240000</v>
      </c>
      <c r="K611">
        <v>51695000</v>
      </c>
      <c r="L611">
        <v>8.1456578658990804</v>
      </c>
      <c r="M611">
        <v>53.149056322857803</v>
      </c>
      <c r="N611">
        <v>27.7167580982236</v>
      </c>
      <c r="O611">
        <v>37.229577010009699</v>
      </c>
      <c r="P611">
        <v>12.64325</v>
      </c>
      <c r="Q611">
        <v>9.8910999999999998</v>
      </c>
      <c r="R611">
        <v>61200000</v>
      </c>
      <c r="S611">
        <v>0</v>
      </c>
      <c r="T611">
        <v>348974000</v>
      </c>
    </row>
    <row r="612" spans="1:20" x14ac:dyDescent="0.2">
      <c r="A612" t="s">
        <v>127</v>
      </c>
      <c r="B612" t="s">
        <v>52</v>
      </c>
      <c r="C612">
        <v>2020</v>
      </c>
      <c r="D612">
        <v>529200000</v>
      </c>
      <c r="E612">
        <v>-11050000</v>
      </c>
      <c r="F612">
        <v>48245000</v>
      </c>
      <c r="G612">
        <v>53885000</v>
      </c>
      <c r="H612">
        <v>389143000</v>
      </c>
      <c r="I612">
        <v>-8.1209119050110995E-2</v>
      </c>
      <c r="J612">
        <v>1666350000</v>
      </c>
      <c r="K612">
        <v>63794000</v>
      </c>
      <c r="L612">
        <v>7.6522747262307398</v>
      </c>
      <c r="M612">
        <v>37.910649718263898</v>
      </c>
      <c r="N612">
        <v>42.2960719940559</v>
      </c>
      <c r="O612">
        <v>7.0731341307322202</v>
      </c>
      <c r="P612">
        <v>14.289350000000001</v>
      </c>
      <c r="Q612">
        <v>10.82442</v>
      </c>
      <c r="R612">
        <v>102875000</v>
      </c>
      <c r="S612">
        <v>0</v>
      </c>
      <c r="T612">
        <v>439068000</v>
      </c>
    </row>
    <row r="613" spans="1:20" x14ac:dyDescent="0.2">
      <c r="A613" t="s">
        <v>127</v>
      </c>
      <c r="B613" t="s">
        <v>52</v>
      </c>
      <c r="C613">
        <v>2021</v>
      </c>
      <c r="D613">
        <v>678621000</v>
      </c>
      <c r="E613">
        <v>-21000000</v>
      </c>
      <c r="F613">
        <v>46481000</v>
      </c>
      <c r="G613">
        <v>105025000</v>
      </c>
      <c r="H613">
        <v>507849000</v>
      </c>
      <c r="I613">
        <v>-0.10143515774447</v>
      </c>
      <c r="J613">
        <v>4448127692.8000002</v>
      </c>
      <c r="K613">
        <v>93548000</v>
      </c>
      <c r="L613">
        <v>-5.4251845132196204</v>
      </c>
      <c r="M613">
        <v>38.6130010861472</v>
      </c>
      <c r="N613">
        <v>50.0650497958353</v>
      </c>
      <c r="O613">
        <v>129.02208305375399</v>
      </c>
      <c r="P613">
        <v>18.122869999999999</v>
      </c>
      <c r="Q613">
        <v>15.228529999999999</v>
      </c>
      <c r="R613">
        <v>171025000</v>
      </c>
      <c r="S613">
        <v>99.047399999999996</v>
      </c>
      <c r="T613">
        <v>556353000</v>
      </c>
    </row>
    <row r="614" spans="1:20" x14ac:dyDescent="0.2">
      <c r="A614" t="s">
        <v>127</v>
      </c>
      <c r="B614" t="s">
        <v>52</v>
      </c>
      <c r="C614">
        <v>2022</v>
      </c>
      <c r="D614">
        <v>1128619000</v>
      </c>
      <c r="E614" t="s">
        <v>18</v>
      </c>
      <c r="F614">
        <v>49386000</v>
      </c>
      <c r="G614">
        <v>299612000</v>
      </c>
      <c r="H614">
        <v>816231000</v>
      </c>
      <c r="I614" t="s">
        <v>18</v>
      </c>
      <c r="J614">
        <v>4675596083.75</v>
      </c>
      <c r="K614">
        <v>315826000</v>
      </c>
      <c r="L614">
        <v>23.780945236309101</v>
      </c>
      <c r="M614">
        <v>44.005087142138201</v>
      </c>
      <c r="N614">
        <v>49.485983180899403</v>
      </c>
      <c r="O614">
        <v>180.02342268329599</v>
      </c>
      <c r="P614">
        <v>28.360420000000001</v>
      </c>
      <c r="Q614">
        <v>26.56503</v>
      </c>
      <c r="R614">
        <v>312700000</v>
      </c>
      <c r="S614">
        <v>99.3399</v>
      </c>
      <c r="T614">
        <v>867841000</v>
      </c>
    </row>
    <row r="615" spans="1:20" x14ac:dyDescent="0.2">
      <c r="A615" t="s">
        <v>127</v>
      </c>
      <c r="B615" t="s">
        <v>52</v>
      </c>
      <c r="C615">
        <v>2023</v>
      </c>
      <c r="D615">
        <v>1297187000</v>
      </c>
      <c r="E615">
        <v>86133330</v>
      </c>
      <c r="F615">
        <v>189969000</v>
      </c>
      <c r="G615">
        <v>170306000</v>
      </c>
      <c r="H615">
        <v>909471000</v>
      </c>
      <c r="I615">
        <v>0.54728153478401498</v>
      </c>
      <c r="J615">
        <v>2007143709.5999999</v>
      </c>
      <c r="K615">
        <v>132156000</v>
      </c>
      <c r="L615">
        <v>13.519548876833101</v>
      </c>
      <c r="M615">
        <v>51.620483599095898</v>
      </c>
      <c r="N615">
        <v>46.548669560206697</v>
      </c>
      <c r="O615">
        <v>46.189213970570101</v>
      </c>
      <c r="P615">
        <v>12.012510000000001</v>
      </c>
      <c r="Q615">
        <v>9.9104200000000002</v>
      </c>
      <c r="R615">
        <v>193184200</v>
      </c>
      <c r="S615">
        <v>99.209599999999995</v>
      </c>
      <c r="T615">
        <v>1101796000</v>
      </c>
    </row>
    <row r="616" spans="1:20" x14ac:dyDescent="0.2">
      <c r="A616" t="s">
        <v>127</v>
      </c>
      <c r="B616" t="s">
        <v>52</v>
      </c>
      <c r="C616">
        <v>2024</v>
      </c>
      <c r="D616">
        <v>1377755000</v>
      </c>
      <c r="E616">
        <v>168875000</v>
      </c>
      <c r="F616">
        <v>194196000</v>
      </c>
      <c r="G616">
        <v>123186000</v>
      </c>
      <c r="H616">
        <v>925675000</v>
      </c>
      <c r="I616">
        <v>1.21775284094917</v>
      </c>
      <c r="J616">
        <v>732728008.5</v>
      </c>
      <c r="K616">
        <v>20145000</v>
      </c>
      <c r="L616">
        <v>14.665078495362501</v>
      </c>
      <c r="M616">
        <v>22.021288215718901</v>
      </c>
      <c r="N616">
        <v>46.384469481430003</v>
      </c>
      <c r="O616">
        <v>-1.0871373900850101</v>
      </c>
      <c r="P616">
        <v>7.4745799999999996</v>
      </c>
      <c r="Q616">
        <v>4.3364599999999998</v>
      </c>
      <c r="R616">
        <v>79583330</v>
      </c>
      <c r="S616">
        <v>99.095399999999998</v>
      </c>
      <c r="T616">
        <v>1122412000</v>
      </c>
    </row>
    <row r="617" spans="1:20" x14ac:dyDescent="0.2">
      <c r="A617" t="s">
        <v>127</v>
      </c>
      <c r="B617" t="s">
        <v>52</v>
      </c>
      <c r="C617">
        <v>2025</v>
      </c>
      <c r="D617">
        <v>1283070000</v>
      </c>
      <c r="E617">
        <v>188000000</v>
      </c>
      <c r="F617">
        <v>287587000</v>
      </c>
      <c r="G617">
        <v>64405000</v>
      </c>
      <c r="H617">
        <v>746289000</v>
      </c>
      <c r="I617">
        <v>2.2188260095493701</v>
      </c>
      <c r="J617">
        <v>1159621717.8</v>
      </c>
      <c r="K617">
        <v>-137947000</v>
      </c>
      <c r="L617">
        <v>9.4361675615746101</v>
      </c>
      <c r="M617">
        <v>14.3300849614262</v>
      </c>
      <c r="N617">
        <v>54.522798878464002</v>
      </c>
      <c r="O617">
        <v>-51.0906318975129</v>
      </c>
      <c r="P617">
        <v>-6.8049999999999999E-2</v>
      </c>
      <c r="Q617">
        <v>-4.30077</v>
      </c>
      <c r="R617">
        <v>-1250000</v>
      </c>
      <c r="S617">
        <v>99.049499999999995</v>
      </c>
      <c r="T617">
        <v>1033876000</v>
      </c>
    </row>
    <row r="618" spans="1:20" x14ac:dyDescent="0.2">
      <c r="A618" t="s">
        <v>128</v>
      </c>
      <c r="B618" t="s">
        <v>53</v>
      </c>
      <c r="C618">
        <v>2004</v>
      </c>
      <c r="D618">
        <v>6208308000</v>
      </c>
      <c r="E618">
        <v>1965516670</v>
      </c>
      <c r="F618">
        <v>3248113000</v>
      </c>
      <c r="G618">
        <v>28121000</v>
      </c>
      <c r="H618">
        <v>1280580000</v>
      </c>
      <c r="I618" t="s">
        <v>18</v>
      </c>
      <c r="J618">
        <v>4733630594</v>
      </c>
      <c r="K618">
        <v>217613000</v>
      </c>
      <c r="L618" t="s">
        <v>18</v>
      </c>
      <c r="M618">
        <v>-15.0078599022129</v>
      </c>
      <c r="N618" t="s">
        <v>18</v>
      </c>
      <c r="O618" t="s">
        <v>18</v>
      </c>
      <c r="P618">
        <v>20.231660000000002</v>
      </c>
      <c r="Q618">
        <v>12.669320000000001</v>
      </c>
      <c r="R618">
        <v>390887500</v>
      </c>
      <c r="S618" t="s">
        <v>18</v>
      </c>
      <c r="T618">
        <v>4685716000</v>
      </c>
    </row>
    <row r="619" spans="1:20" x14ac:dyDescent="0.2">
      <c r="A619" t="s">
        <v>128</v>
      </c>
      <c r="B619" t="s">
        <v>53</v>
      </c>
      <c r="C619">
        <v>2005</v>
      </c>
      <c r="D619">
        <v>6237309000</v>
      </c>
      <c r="E619">
        <v>1784490000</v>
      </c>
      <c r="F619">
        <v>2980615000</v>
      </c>
      <c r="G619">
        <v>12269000</v>
      </c>
      <c r="H619">
        <v>1459388000</v>
      </c>
      <c r="I619" t="s">
        <v>18</v>
      </c>
      <c r="J619">
        <v>8321400000</v>
      </c>
      <c r="K619">
        <v>268841000</v>
      </c>
      <c r="L619" t="s">
        <v>18</v>
      </c>
      <c r="M619">
        <v>-3.1692318158470001</v>
      </c>
      <c r="N619" t="s">
        <v>18</v>
      </c>
      <c r="O619" t="s">
        <v>18</v>
      </c>
      <c r="P619">
        <v>28.07037</v>
      </c>
      <c r="Q619">
        <v>19.068090000000002</v>
      </c>
      <c r="R619">
        <v>540452500</v>
      </c>
      <c r="S619" t="s">
        <v>18</v>
      </c>
      <c r="T619">
        <v>4629422000</v>
      </c>
    </row>
    <row r="620" spans="1:20" x14ac:dyDescent="0.2">
      <c r="A620" t="s">
        <v>128</v>
      </c>
      <c r="B620" t="s">
        <v>53</v>
      </c>
      <c r="C620">
        <v>2006</v>
      </c>
      <c r="D620">
        <v>6596681000</v>
      </c>
      <c r="E620">
        <v>1186069830</v>
      </c>
      <c r="F620">
        <v>3128012000</v>
      </c>
      <c r="G620">
        <v>29698000</v>
      </c>
      <c r="H620">
        <v>1723239000</v>
      </c>
      <c r="I620" t="s">
        <v>18</v>
      </c>
      <c r="J620">
        <v>11988980000</v>
      </c>
      <c r="K620">
        <v>402083000</v>
      </c>
      <c r="L620" t="s">
        <v>18</v>
      </c>
      <c r="M620">
        <v>15.892120995114499</v>
      </c>
      <c r="N620">
        <v>29.4948138810574</v>
      </c>
      <c r="O620" t="s">
        <v>18</v>
      </c>
      <c r="P620">
        <v>32.461770000000001</v>
      </c>
      <c r="Q620">
        <v>24.018930000000001</v>
      </c>
      <c r="R620">
        <v>853066000</v>
      </c>
      <c r="S620" t="s">
        <v>18</v>
      </c>
      <c r="T620">
        <v>5032939000</v>
      </c>
    </row>
    <row r="621" spans="1:20" x14ac:dyDescent="0.2">
      <c r="A621" t="s">
        <v>128</v>
      </c>
      <c r="B621" t="s">
        <v>53</v>
      </c>
      <c r="C621">
        <v>2007</v>
      </c>
      <c r="D621">
        <v>6440192000</v>
      </c>
      <c r="E621">
        <v>1551083670</v>
      </c>
      <c r="F621">
        <v>2463874000</v>
      </c>
      <c r="G621">
        <v>87969000</v>
      </c>
      <c r="H621">
        <v>2071083000</v>
      </c>
      <c r="I621" t="s">
        <v>18</v>
      </c>
      <c r="J621">
        <v>14238840000</v>
      </c>
      <c r="K621">
        <v>561464000</v>
      </c>
      <c r="L621" t="s">
        <v>18</v>
      </c>
      <c r="M621">
        <v>29.6272734898665</v>
      </c>
      <c r="N621">
        <v>41.379604777497001</v>
      </c>
      <c r="O621" t="s">
        <v>18</v>
      </c>
      <c r="P621">
        <v>31.886140000000001</v>
      </c>
      <c r="Q621">
        <v>25.72221</v>
      </c>
      <c r="R621">
        <v>920831890</v>
      </c>
      <c r="S621" t="s">
        <v>18</v>
      </c>
      <c r="T621">
        <v>4534957000</v>
      </c>
    </row>
    <row r="622" spans="1:20" x14ac:dyDescent="0.2">
      <c r="A622" t="s">
        <v>128</v>
      </c>
      <c r="B622" t="s">
        <v>53</v>
      </c>
      <c r="C622">
        <v>2008</v>
      </c>
      <c r="D622">
        <v>7339778000</v>
      </c>
      <c r="E622">
        <v>1855526500</v>
      </c>
      <c r="F622">
        <v>3047137000</v>
      </c>
      <c r="G622">
        <v>330120000</v>
      </c>
      <c r="H622">
        <v>2407456000</v>
      </c>
      <c r="I622" t="s">
        <v>18</v>
      </c>
      <c r="J622">
        <v>10007254000</v>
      </c>
      <c r="K622">
        <v>706745000</v>
      </c>
      <c r="L622" t="s">
        <v>18</v>
      </c>
      <c r="M622">
        <v>38.561566725563601</v>
      </c>
      <c r="N622">
        <v>41.2651137319329</v>
      </c>
      <c r="O622" t="s">
        <v>18</v>
      </c>
      <c r="P622">
        <v>35.778480000000002</v>
      </c>
      <c r="Q622">
        <v>29.757370000000002</v>
      </c>
      <c r="R622">
        <v>1178767460</v>
      </c>
      <c r="S622" t="s">
        <v>18</v>
      </c>
      <c r="T622">
        <v>5721762000</v>
      </c>
    </row>
    <row r="623" spans="1:20" x14ac:dyDescent="0.2">
      <c r="A623" t="s">
        <v>128</v>
      </c>
      <c r="B623" t="s">
        <v>53</v>
      </c>
      <c r="C623">
        <v>2009</v>
      </c>
      <c r="D623">
        <v>8293839000</v>
      </c>
      <c r="E623">
        <v>3755197270</v>
      </c>
      <c r="F623">
        <v>3167475000</v>
      </c>
      <c r="G623">
        <v>107782000</v>
      </c>
      <c r="H623">
        <v>2867787000</v>
      </c>
      <c r="I623" t="s">
        <v>18</v>
      </c>
      <c r="J623">
        <v>4612089720</v>
      </c>
      <c r="K623">
        <v>790740000</v>
      </c>
      <c r="L623" t="s">
        <v>18</v>
      </c>
      <c r="M623">
        <v>40.6127899502278</v>
      </c>
      <c r="N623">
        <v>60.914311793682202</v>
      </c>
      <c r="O623" t="s">
        <v>18</v>
      </c>
      <c r="P623">
        <v>32.731029999999997</v>
      </c>
      <c r="Q623">
        <v>27.838069999999998</v>
      </c>
      <c r="R623">
        <v>1080081250</v>
      </c>
      <c r="S623">
        <v>34.910200000000003</v>
      </c>
      <c r="T623">
        <v>6295561000</v>
      </c>
    </row>
    <row r="624" spans="1:20" x14ac:dyDescent="0.2">
      <c r="A624" t="s">
        <v>128</v>
      </c>
      <c r="B624" t="s">
        <v>53</v>
      </c>
      <c r="C624">
        <v>2010</v>
      </c>
      <c r="D624">
        <v>10345216000</v>
      </c>
      <c r="E624">
        <v>4118065670</v>
      </c>
      <c r="F624">
        <v>4384585000</v>
      </c>
      <c r="G624">
        <v>125984000</v>
      </c>
      <c r="H624">
        <v>3117916000</v>
      </c>
      <c r="I624" t="s">
        <v>18</v>
      </c>
      <c r="J624">
        <v>4219241907.5100002</v>
      </c>
      <c r="K624">
        <v>752546000</v>
      </c>
      <c r="L624" t="s">
        <v>18</v>
      </c>
      <c r="M624">
        <v>42.032990317657699</v>
      </c>
      <c r="N624">
        <v>58.479096958620303</v>
      </c>
      <c r="O624" t="s">
        <v>18</v>
      </c>
      <c r="P624">
        <v>34.407049999999998</v>
      </c>
      <c r="Q624">
        <v>28.39837</v>
      </c>
      <c r="R624">
        <v>810524330</v>
      </c>
      <c r="S624">
        <v>39.907299999999999</v>
      </c>
      <c r="T624">
        <v>7794276000</v>
      </c>
    </row>
    <row r="625" spans="1:20" x14ac:dyDescent="0.2">
      <c r="A625" t="s">
        <v>128</v>
      </c>
      <c r="B625" t="s">
        <v>53</v>
      </c>
      <c r="C625">
        <v>2011</v>
      </c>
      <c r="D625">
        <v>11290979000</v>
      </c>
      <c r="E625">
        <v>3920904730</v>
      </c>
      <c r="F625">
        <v>4551679000</v>
      </c>
      <c r="G625">
        <v>488982000</v>
      </c>
      <c r="H625">
        <v>4023779000</v>
      </c>
      <c r="I625" t="s">
        <v>18</v>
      </c>
      <c r="J625">
        <v>3319556877</v>
      </c>
      <c r="K625">
        <v>511882000</v>
      </c>
      <c r="L625" t="s">
        <v>18</v>
      </c>
      <c r="M625">
        <v>41.449102355055601</v>
      </c>
      <c r="N625">
        <v>63.067461424578802</v>
      </c>
      <c r="O625" t="s">
        <v>18</v>
      </c>
      <c r="P625">
        <v>31.9971</v>
      </c>
      <c r="Q625">
        <v>25.025829999999999</v>
      </c>
      <c r="R625">
        <v>893497640</v>
      </c>
      <c r="S625">
        <v>38.150100000000002</v>
      </c>
      <c r="T625">
        <v>8910340000</v>
      </c>
    </row>
    <row r="626" spans="1:20" x14ac:dyDescent="0.2">
      <c r="A626" t="s">
        <v>128</v>
      </c>
      <c r="B626" t="s">
        <v>53</v>
      </c>
      <c r="C626">
        <v>2012</v>
      </c>
      <c r="D626">
        <v>11859310000</v>
      </c>
      <c r="E626">
        <v>3460814470</v>
      </c>
      <c r="F626">
        <v>4290582000</v>
      </c>
      <c r="G626">
        <v>333243000</v>
      </c>
      <c r="H626">
        <v>4314736000</v>
      </c>
      <c r="I626" t="s">
        <v>18</v>
      </c>
      <c r="J626">
        <v>2992708199.8800001</v>
      </c>
      <c r="K626">
        <v>465815000</v>
      </c>
      <c r="L626" t="s">
        <v>18</v>
      </c>
      <c r="M626">
        <v>23.718831956642099</v>
      </c>
      <c r="N626">
        <v>60.449530205825802</v>
      </c>
      <c r="O626" t="s">
        <v>18</v>
      </c>
      <c r="P626">
        <v>35.322159999999997</v>
      </c>
      <c r="Q626">
        <v>27.339980000000001</v>
      </c>
      <c r="R626">
        <v>865263560</v>
      </c>
      <c r="S626">
        <v>36.844099999999997</v>
      </c>
      <c r="T626">
        <v>9209670000</v>
      </c>
    </row>
    <row r="627" spans="1:20" x14ac:dyDescent="0.2">
      <c r="A627" t="s">
        <v>128</v>
      </c>
      <c r="B627" t="s">
        <v>53</v>
      </c>
      <c r="C627">
        <v>2013</v>
      </c>
      <c r="D627">
        <v>12413300000</v>
      </c>
      <c r="E627">
        <v>3683553000</v>
      </c>
      <c r="F627">
        <v>4321100000</v>
      </c>
      <c r="G627">
        <v>121800000</v>
      </c>
      <c r="H627">
        <v>4464400000</v>
      </c>
      <c r="I627" t="s">
        <v>18</v>
      </c>
      <c r="J627">
        <v>2722036639.1399999</v>
      </c>
      <c r="K627">
        <v>498817000</v>
      </c>
      <c r="L627" t="s">
        <v>18</v>
      </c>
      <c r="M627">
        <v>22.108540741712002</v>
      </c>
      <c r="N627">
        <v>61.994031307335902</v>
      </c>
      <c r="O627" t="s">
        <v>18</v>
      </c>
      <c r="P627">
        <v>38.39931</v>
      </c>
      <c r="Q627">
        <v>29.683890000000002</v>
      </c>
      <c r="R627">
        <v>658023270</v>
      </c>
      <c r="S627">
        <v>43.618400000000001</v>
      </c>
      <c r="T627">
        <v>9426500000</v>
      </c>
    </row>
    <row r="628" spans="1:20" x14ac:dyDescent="0.2">
      <c r="A628" t="s">
        <v>128</v>
      </c>
      <c r="B628" t="s">
        <v>53</v>
      </c>
      <c r="C628">
        <v>2014</v>
      </c>
      <c r="D628">
        <v>12833431000</v>
      </c>
      <c r="E628">
        <v>3736936530</v>
      </c>
      <c r="F628">
        <v>4013768000</v>
      </c>
      <c r="G628">
        <v>83343000</v>
      </c>
      <c r="H628">
        <v>4947272000</v>
      </c>
      <c r="I628">
        <v>4.7093058110866997</v>
      </c>
      <c r="J628">
        <v>5669823995.5200005</v>
      </c>
      <c r="K628">
        <v>1009500000</v>
      </c>
      <c r="L628">
        <v>-4.1017684898051296</v>
      </c>
      <c r="M628">
        <v>5.9203939536133703</v>
      </c>
      <c r="N628">
        <v>62.810042587194197</v>
      </c>
      <c r="O628">
        <v>-43.8792139130435</v>
      </c>
      <c r="P628">
        <v>40.826599999999999</v>
      </c>
      <c r="Q628">
        <v>29.80752</v>
      </c>
      <c r="R628">
        <v>378417690</v>
      </c>
      <c r="S628">
        <v>41.633899999999997</v>
      </c>
      <c r="T628">
        <v>9566662000</v>
      </c>
    </row>
    <row r="629" spans="1:20" x14ac:dyDescent="0.2">
      <c r="A629" t="s">
        <v>128</v>
      </c>
      <c r="B629" t="s">
        <v>53</v>
      </c>
      <c r="C629">
        <v>2015</v>
      </c>
      <c r="D629">
        <v>12247296000</v>
      </c>
      <c r="E629">
        <v>3384787390</v>
      </c>
      <c r="F629">
        <v>3706851000</v>
      </c>
      <c r="G629">
        <v>41683000</v>
      </c>
      <c r="H629">
        <v>4689054000</v>
      </c>
      <c r="I629">
        <v>3.75420908359136</v>
      </c>
      <c r="J629">
        <v>4598046604.21</v>
      </c>
      <c r="K629">
        <v>155483000</v>
      </c>
      <c r="L629">
        <v>-3.0301859661337498</v>
      </c>
      <c r="M629">
        <v>-2.5957861480463001E-2</v>
      </c>
      <c r="N629">
        <v>64.111551393630904</v>
      </c>
      <c r="O629">
        <v>-51.968435319773803</v>
      </c>
      <c r="P629">
        <v>29.656949999999998</v>
      </c>
      <c r="Q629">
        <v>15.968719999999999</v>
      </c>
      <c r="R629">
        <v>473137330</v>
      </c>
      <c r="S629">
        <v>38.843800000000002</v>
      </c>
      <c r="T629">
        <v>8987302000</v>
      </c>
    </row>
    <row r="630" spans="1:20" x14ac:dyDescent="0.2">
      <c r="A630" t="s">
        <v>128</v>
      </c>
      <c r="B630" t="s">
        <v>53</v>
      </c>
      <c r="C630">
        <v>2016</v>
      </c>
      <c r="D630">
        <v>11762993000</v>
      </c>
      <c r="E630">
        <v>3031596460</v>
      </c>
      <c r="F630">
        <v>3129503000</v>
      </c>
      <c r="G630">
        <v>28888000</v>
      </c>
      <c r="H630">
        <v>4808363000</v>
      </c>
      <c r="I630">
        <v>3.0858615232570901</v>
      </c>
      <c r="J630">
        <v>4742224113.8999996</v>
      </c>
      <c r="K630">
        <v>250327000</v>
      </c>
      <c r="L630">
        <v>1.39181714161334</v>
      </c>
      <c r="M630">
        <v>-15.735291438157301</v>
      </c>
      <c r="N630">
        <v>68.839044250099604</v>
      </c>
      <c r="O630">
        <v>-22.1383079155068</v>
      </c>
      <c r="P630">
        <v>29.977440000000001</v>
      </c>
      <c r="Q630">
        <v>17.851430000000001</v>
      </c>
      <c r="R630">
        <v>511566550</v>
      </c>
      <c r="S630">
        <v>29.855399999999999</v>
      </c>
      <c r="T630">
        <v>8594219000</v>
      </c>
    </row>
    <row r="631" spans="1:20" x14ac:dyDescent="0.2">
      <c r="A631" t="s">
        <v>128</v>
      </c>
      <c r="B631" t="s">
        <v>53</v>
      </c>
      <c r="C631">
        <v>2017</v>
      </c>
      <c r="D631">
        <v>11538188000</v>
      </c>
      <c r="E631">
        <v>2588854500</v>
      </c>
      <c r="F631">
        <v>2719675000</v>
      </c>
      <c r="G631">
        <v>27960000</v>
      </c>
      <c r="H631">
        <v>4914197000</v>
      </c>
      <c r="I631">
        <v>2.8983967231766301</v>
      </c>
      <c r="J631">
        <v>6809347445.6000004</v>
      </c>
      <c r="K631">
        <v>459551000</v>
      </c>
      <c r="L631">
        <v>-0.80664707209366704</v>
      </c>
      <c r="M631">
        <v>-15.173037005801801</v>
      </c>
      <c r="N631">
        <v>73.068577156949303</v>
      </c>
      <c r="O631" t="s">
        <v>18</v>
      </c>
      <c r="P631">
        <v>33.017829999999996</v>
      </c>
      <c r="Q631">
        <v>20.880510000000001</v>
      </c>
      <c r="R631">
        <v>494127420</v>
      </c>
      <c r="S631">
        <v>4.5247999999999999</v>
      </c>
      <c r="T631">
        <v>8281776000</v>
      </c>
    </row>
    <row r="632" spans="1:20" x14ac:dyDescent="0.2">
      <c r="A632" t="s">
        <v>128</v>
      </c>
      <c r="B632" t="s">
        <v>53</v>
      </c>
      <c r="C632">
        <v>2018</v>
      </c>
      <c r="D632">
        <v>11283602000</v>
      </c>
      <c r="E632">
        <v>2243186900</v>
      </c>
      <c r="F632">
        <v>2355553000</v>
      </c>
      <c r="G632">
        <v>28593000</v>
      </c>
      <c r="H632">
        <v>5099051000</v>
      </c>
      <c r="I632">
        <v>2.4498375037320099</v>
      </c>
      <c r="J632">
        <v>12548654578.32</v>
      </c>
      <c r="K632">
        <v>301566000</v>
      </c>
      <c r="L632">
        <v>12.112205069041099</v>
      </c>
      <c r="M632">
        <v>-18.082955099892299</v>
      </c>
      <c r="N632">
        <v>69.780962429345195</v>
      </c>
      <c r="O632">
        <v>46.861948145835697</v>
      </c>
      <c r="P632">
        <v>30.654630000000001</v>
      </c>
      <c r="Q632">
        <v>18.938320000000001</v>
      </c>
      <c r="R632">
        <v>571103800</v>
      </c>
      <c r="S632">
        <v>6.1558000000000002</v>
      </c>
      <c r="T632">
        <v>8081380000</v>
      </c>
    </row>
    <row r="633" spans="1:20" x14ac:dyDescent="0.2">
      <c r="A633" t="s">
        <v>128</v>
      </c>
      <c r="B633" t="s">
        <v>53</v>
      </c>
      <c r="C633">
        <v>2019</v>
      </c>
      <c r="D633">
        <v>11704798000</v>
      </c>
      <c r="E633">
        <v>1957093670</v>
      </c>
      <c r="F633">
        <v>2226357000</v>
      </c>
      <c r="G633">
        <v>39347000</v>
      </c>
      <c r="H633">
        <v>5342897000</v>
      </c>
      <c r="I633">
        <v>1.5937017182992901</v>
      </c>
      <c r="J633">
        <v>16391072065.48</v>
      </c>
      <c r="K633">
        <v>476245000</v>
      </c>
      <c r="L633">
        <v>13.5298733156763</v>
      </c>
      <c r="M633">
        <v>-12.127771421769699</v>
      </c>
      <c r="N633">
        <v>67.954554069542596</v>
      </c>
      <c r="O633" t="s">
        <v>18</v>
      </c>
      <c r="P633">
        <v>32.224769999999999</v>
      </c>
      <c r="Q633">
        <v>19.969850000000001</v>
      </c>
      <c r="R633">
        <v>864661640</v>
      </c>
      <c r="S633">
        <v>6.3484999999999996</v>
      </c>
      <c r="T633">
        <v>8204980000</v>
      </c>
    </row>
    <row r="634" spans="1:20" x14ac:dyDescent="0.2">
      <c r="A634" t="s">
        <v>128</v>
      </c>
      <c r="B634" t="s">
        <v>53</v>
      </c>
      <c r="C634">
        <v>2020</v>
      </c>
      <c r="D634">
        <v>11838629000</v>
      </c>
      <c r="E634">
        <v>1840824380</v>
      </c>
      <c r="F634">
        <v>1701276000</v>
      </c>
      <c r="G634">
        <v>44635000</v>
      </c>
      <c r="H634">
        <v>5930605000</v>
      </c>
      <c r="I634">
        <v>1.38399133239712</v>
      </c>
      <c r="J634">
        <v>20844941160</v>
      </c>
      <c r="K634">
        <v>640713000</v>
      </c>
      <c r="L634">
        <v>-6.6576407735863999E-2</v>
      </c>
      <c r="M634">
        <v>-3.2063255630014802</v>
      </c>
      <c r="N634">
        <v>74.910631462641305</v>
      </c>
      <c r="O634">
        <v>-6.9444018365698303</v>
      </c>
      <c r="P634">
        <v>30.313459999999999</v>
      </c>
      <c r="Q634">
        <v>20.962499999999999</v>
      </c>
      <c r="R634">
        <v>871222910</v>
      </c>
      <c r="S634">
        <v>5.4537000000000004</v>
      </c>
      <c r="T634">
        <v>8312086000</v>
      </c>
    </row>
    <row r="635" spans="1:20" x14ac:dyDescent="0.2">
      <c r="A635" t="s">
        <v>128</v>
      </c>
      <c r="B635" t="s">
        <v>53</v>
      </c>
      <c r="C635">
        <v>2021</v>
      </c>
      <c r="D635">
        <v>11987668000</v>
      </c>
      <c r="E635">
        <v>2017877100</v>
      </c>
      <c r="F635">
        <v>1384410000</v>
      </c>
      <c r="G635">
        <v>49203000</v>
      </c>
      <c r="H635">
        <v>6192379000</v>
      </c>
      <c r="I635">
        <v>1.3809904062771801</v>
      </c>
      <c r="J635">
        <v>32135950955</v>
      </c>
      <c r="K635">
        <v>709464000</v>
      </c>
      <c r="L635">
        <v>22.7870872895639</v>
      </c>
      <c r="M635">
        <v>15.8928689517933</v>
      </c>
      <c r="N635">
        <v>73.6566908835741</v>
      </c>
      <c r="O635">
        <v>64.273465735436005</v>
      </c>
      <c r="P635">
        <v>41.027700000000003</v>
      </c>
      <c r="Q635">
        <v>30.044419999999999</v>
      </c>
      <c r="R635">
        <v>1096058330</v>
      </c>
      <c r="S635">
        <v>6.0808</v>
      </c>
      <c r="T635">
        <v>8233009000</v>
      </c>
    </row>
    <row r="636" spans="1:20" x14ac:dyDescent="0.2">
      <c r="A636" t="s">
        <v>128</v>
      </c>
      <c r="B636" t="s">
        <v>53</v>
      </c>
      <c r="C636">
        <v>2022</v>
      </c>
      <c r="D636">
        <v>17281365000</v>
      </c>
      <c r="E636">
        <v>2822013290</v>
      </c>
      <c r="F636">
        <v>3390908000</v>
      </c>
      <c r="G636">
        <v>318562000</v>
      </c>
      <c r="H636">
        <v>5505840000</v>
      </c>
      <c r="I636">
        <v>0.994659687004815</v>
      </c>
      <c r="J636">
        <v>30120939976.200001</v>
      </c>
      <c r="K636">
        <v>985087000</v>
      </c>
      <c r="L636">
        <v>-15.2054323763402</v>
      </c>
      <c r="M636">
        <v>28.042632184282201</v>
      </c>
      <c r="N636">
        <v>74.099342539983695</v>
      </c>
      <c r="O636">
        <v>13.194653905419401</v>
      </c>
      <c r="P636">
        <v>27.3461</v>
      </c>
      <c r="Q636">
        <v>18.609819999999999</v>
      </c>
      <c r="R636">
        <v>2488683800</v>
      </c>
      <c r="S636">
        <v>4.1668000000000003</v>
      </c>
      <c r="T636">
        <v>9798057000</v>
      </c>
    </row>
    <row r="637" spans="1:20" x14ac:dyDescent="0.2">
      <c r="A637" t="s">
        <v>128</v>
      </c>
      <c r="B637" t="s">
        <v>53</v>
      </c>
      <c r="C637">
        <v>2023</v>
      </c>
      <c r="D637">
        <v>19156644000</v>
      </c>
      <c r="E637">
        <v>2390656560</v>
      </c>
      <c r="F637">
        <v>4090656000</v>
      </c>
      <c r="G637">
        <v>409252000</v>
      </c>
      <c r="H637">
        <v>7322386000</v>
      </c>
      <c r="I637">
        <v>0.52191562038432104</v>
      </c>
      <c r="J637">
        <v>30520468015.099998</v>
      </c>
      <c r="K637">
        <v>1948767000</v>
      </c>
      <c r="L637">
        <v>-8.8694658090752494</v>
      </c>
      <c r="M637">
        <v>34.9896126923068</v>
      </c>
      <c r="N637">
        <v>65.863316731338898</v>
      </c>
      <c r="O637">
        <v>27.0129862989094</v>
      </c>
      <c r="P637">
        <v>22.284009999999999</v>
      </c>
      <c r="Q637">
        <v>17.811789999999998</v>
      </c>
      <c r="R637">
        <v>3812817000</v>
      </c>
      <c r="S637">
        <v>2.891</v>
      </c>
      <c r="T637">
        <v>12460075000</v>
      </c>
    </row>
    <row r="638" spans="1:20" x14ac:dyDescent="0.2">
      <c r="A638" t="s">
        <v>128</v>
      </c>
      <c r="B638" t="s">
        <v>53</v>
      </c>
      <c r="C638">
        <v>2024</v>
      </c>
      <c r="D638">
        <v>19485316000</v>
      </c>
      <c r="E638">
        <v>1881994860</v>
      </c>
      <c r="F638">
        <v>2568369000</v>
      </c>
      <c r="G638">
        <v>964044000</v>
      </c>
      <c r="H638">
        <v>10014920000</v>
      </c>
      <c r="I638">
        <v>0.57114782548923704</v>
      </c>
      <c r="J638">
        <v>26229884293</v>
      </c>
      <c r="K638">
        <v>2732130000</v>
      </c>
      <c r="L638">
        <v>-10.4348440060394</v>
      </c>
      <c r="M638">
        <v>36.460037524731803</v>
      </c>
      <c r="N638">
        <v>61.884798461586499</v>
      </c>
      <c r="O638" t="s">
        <v>18</v>
      </c>
      <c r="P638">
        <v>37.836709999999997</v>
      </c>
      <c r="Q638">
        <v>32.698039999999999</v>
      </c>
      <c r="R638">
        <v>2637031920</v>
      </c>
      <c r="S638">
        <v>4.6474000000000002</v>
      </c>
      <c r="T638">
        <v>13835078000</v>
      </c>
    </row>
    <row r="639" spans="1:20" x14ac:dyDescent="0.2">
      <c r="A639" t="s">
        <v>128</v>
      </c>
      <c r="B639" t="s">
        <v>53</v>
      </c>
      <c r="C639">
        <v>2025</v>
      </c>
      <c r="D639">
        <v>18718311000</v>
      </c>
      <c r="E639">
        <v>2507495130</v>
      </c>
      <c r="F639">
        <v>2454216000</v>
      </c>
      <c r="G639">
        <v>795135000</v>
      </c>
      <c r="H639">
        <v>10023581000</v>
      </c>
      <c r="I639">
        <v>0.879066173050433</v>
      </c>
      <c r="J639">
        <v>22078266845.299999</v>
      </c>
      <c r="K639">
        <v>2139705000</v>
      </c>
      <c r="L639">
        <v>-4.2448972382968</v>
      </c>
      <c r="M639">
        <v>23.799629601098999</v>
      </c>
      <c r="N639">
        <v>67.264934187934202</v>
      </c>
      <c r="O639" t="s">
        <v>18</v>
      </c>
      <c r="P639">
        <v>40.021999999999998</v>
      </c>
      <c r="Q639">
        <v>33.013750000000002</v>
      </c>
      <c r="R639">
        <v>2191640800</v>
      </c>
      <c r="S639">
        <v>5.7934000000000001</v>
      </c>
      <c r="T639">
        <v>13565046000</v>
      </c>
    </row>
    <row r="640" spans="1:20" x14ac:dyDescent="0.2">
      <c r="A640" t="s">
        <v>129</v>
      </c>
      <c r="B640" t="s">
        <v>54</v>
      </c>
      <c r="C640">
        <v>2004</v>
      </c>
      <c r="D640">
        <v>1390200000</v>
      </c>
      <c r="E640">
        <v>140775680</v>
      </c>
      <c r="F640">
        <v>305500000</v>
      </c>
      <c r="G640">
        <v>20400000</v>
      </c>
      <c r="H640">
        <v>613300000</v>
      </c>
      <c r="I640" t="s">
        <v>18</v>
      </c>
      <c r="J640">
        <v>1524805953.07181</v>
      </c>
      <c r="K640">
        <v>35600000</v>
      </c>
      <c r="L640" t="s">
        <v>18</v>
      </c>
      <c r="M640">
        <v>37.067844582193601</v>
      </c>
      <c r="N640">
        <v>48.783508158508198</v>
      </c>
      <c r="O640" t="s">
        <v>18</v>
      </c>
      <c r="P640">
        <v>8.9561299999999999</v>
      </c>
      <c r="Q640">
        <v>4.4175500000000003</v>
      </c>
      <c r="R640">
        <v>109577920</v>
      </c>
      <c r="S640" t="s">
        <v>18</v>
      </c>
      <c r="T640">
        <v>918800000</v>
      </c>
    </row>
    <row r="641" spans="1:20" x14ac:dyDescent="0.2">
      <c r="A641" t="s">
        <v>129</v>
      </c>
      <c r="B641" t="s">
        <v>54</v>
      </c>
      <c r="C641">
        <v>2005</v>
      </c>
      <c r="D641">
        <v>2881000000</v>
      </c>
      <c r="E641">
        <v>626189380</v>
      </c>
      <c r="F641">
        <v>638800000</v>
      </c>
      <c r="G641">
        <v>192700000</v>
      </c>
      <c r="H641">
        <v>1161800000</v>
      </c>
      <c r="I641" t="s">
        <v>18</v>
      </c>
      <c r="J641">
        <v>2353876765.8015499</v>
      </c>
      <c r="K641">
        <v>-61200000</v>
      </c>
      <c r="L641" t="s">
        <v>18</v>
      </c>
      <c r="M641">
        <v>29.689818617277901</v>
      </c>
      <c r="N641">
        <v>41.977813852813902</v>
      </c>
      <c r="O641" t="s">
        <v>18</v>
      </c>
      <c r="P641">
        <v>2.6955</v>
      </c>
      <c r="Q641">
        <v>-2.0692300000000001</v>
      </c>
      <c r="R641">
        <v>-78133550</v>
      </c>
      <c r="S641" t="s">
        <v>18</v>
      </c>
      <c r="T641">
        <v>1800600000</v>
      </c>
    </row>
    <row r="642" spans="1:20" x14ac:dyDescent="0.2">
      <c r="A642" t="s">
        <v>129</v>
      </c>
      <c r="B642" t="s">
        <v>54</v>
      </c>
      <c r="C642">
        <v>2006</v>
      </c>
      <c r="D642">
        <v>3085400000</v>
      </c>
      <c r="E642">
        <v>325000090</v>
      </c>
      <c r="F642">
        <v>492200000</v>
      </c>
      <c r="G642">
        <v>126300000</v>
      </c>
      <c r="H642">
        <v>961800000</v>
      </c>
      <c r="I642" t="s">
        <v>18</v>
      </c>
      <c r="J642">
        <v>5585999861.6869802</v>
      </c>
      <c r="K642">
        <v>-191500000</v>
      </c>
      <c r="L642" t="s">
        <v>18</v>
      </c>
      <c r="M642">
        <v>18.7902673476164</v>
      </c>
      <c r="N642">
        <v>38.658645276292297</v>
      </c>
      <c r="O642" t="s">
        <v>18</v>
      </c>
      <c r="P642">
        <v>0.26238</v>
      </c>
      <c r="Q642">
        <v>-3.2294999999999998</v>
      </c>
      <c r="R642">
        <v>180209650</v>
      </c>
      <c r="S642" t="s">
        <v>18</v>
      </c>
      <c r="T642">
        <v>1454000000</v>
      </c>
    </row>
    <row r="643" spans="1:20" x14ac:dyDescent="0.2">
      <c r="A643" t="s">
        <v>129</v>
      </c>
      <c r="B643" t="s">
        <v>54</v>
      </c>
      <c r="C643">
        <v>2007</v>
      </c>
      <c r="D643">
        <v>3654400000</v>
      </c>
      <c r="E643">
        <v>58614600</v>
      </c>
      <c r="F643">
        <v>207700000</v>
      </c>
      <c r="G643">
        <v>444600000</v>
      </c>
      <c r="H643">
        <v>1261700000</v>
      </c>
      <c r="I643" t="s">
        <v>18</v>
      </c>
      <c r="J643">
        <v>12025028431.2008</v>
      </c>
      <c r="K643">
        <v>110900000</v>
      </c>
      <c r="L643" t="s">
        <v>18</v>
      </c>
      <c r="M643">
        <v>13.503910978420301</v>
      </c>
      <c r="N643">
        <v>40.880681818181799</v>
      </c>
      <c r="O643" t="s">
        <v>18</v>
      </c>
      <c r="P643">
        <v>8.5203500000000005</v>
      </c>
      <c r="Q643">
        <v>5.20458</v>
      </c>
      <c r="R643">
        <v>359865900</v>
      </c>
      <c r="S643" t="s">
        <v>18</v>
      </c>
      <c r="T643">
        <v>1469400000</v>
      </c>
    </row>
    <row r="644" spans="1:20" x14ac:dyDescent="0.2">
      <c r="A644" t="s">
        <v>129</v>
      </c>
      <c r="B644" t="s">
        <v>54</v>
      </c>
      <c r="C644">
        <v>2008</v>
      </c>
      <c r="D644">
        <v>4296000000</v>
      </c>
      <c r="E644">
        <v>-327652550</v>
      </c>
      <c r="F644">
        <v>150000000</v>
      </c>
      <c r="G644">
        <v>764000000</v>
      </c>
      <c r="H644">
        <v>1516000000</v>
      </c>
      <c r="I644" t="s">
        <v>18</v>
      </c>
      <c r="J644">
        <v>6106652374.6487398</v>
      </c>
      <c r="K644">
        <v>291000000</v>
      </c>
      <c r="L644" t="s">
        <v>18</v>
      </c>
      <c r="M644">
        <v>20.251382397154199</v>
      </c>
      <c r="N644">
        <v>47.238906926406898</v>
      </c>
      <c r="O644" t="s">
        <v>18</v>
      </c>
      <c r="P644">
        <v>11.95227</v>
      </c>
      <c r="Q644">
        <v>9.1133500000000005</v>
      </c>
      <c r="R644">
        <v>631869500</v>
      </c>
      <c r="S644" t="s">
        <v>18</v>
      </c>
      <c r="T644">
        <v>1666000000</v>
      </c>
    </row>
    <row r="645" spans="1:20" x14ac:dyDescent="0.2">
      <c r="A645" t="s">
        <v>129</v>
      </c>
      <c r="B645" t="s">
        <v>54</v>
      </c>
      <c r="C645">
        <v>2009</v>
      </c>
      <c r="D645">
        <v>6327000000</v>
      </c>
      <c r="E645">
        <v>-85943960</v>
      </c>
      <c r="F645">
        <v>123000000</v>
      </c>
      <c r="G645">
        <v>162000000</v>
      </c>
      <c r="H645">
        <v>1587000000</v>
      </c>
      <c r="I645" t="s">
        <v>18</v>
      </c>
      <c r="J645">
        <v>9540200116.0405693</v>
      </c>
      <c r="K645">
        <v>511000000</v>
      </c>
      <c r="L645" t="s">
        <v>18</v>
      </c>
      <c r="M645">
        <v>43.147615744842199</v>
      </c>
      <c r="N645">
        <v>54.243747647280202</v>
      </c>
      <c r="O645" t="s">
        <v>18</v>
      </c>
      <c r="P645">
        <v>13.322290000000001</v>
      </c>
      <c r="Q645">
        <v>11.068770000000001</v>
      </c>
      <c r="R645">
        <v>773490410</v>
      </c>
      <c r="S645" t="s">
        <v>18</v>
      </c>
      <c r="T645">
        <v>1710000000</v>
      </c>
    </row>
    <row r="646" spans="1:20" x14ac:dyDescent="0.2">
      <c r="A646" t="s">
        <v>129</v>
      </c>
      <c r="B646" t="s">
        <v>54</v>
      </c>
      <c r="C646">
        <v>2010</v>
      </c>
      <c r="D646">
        <v>7959000000</v>
      </c>
      <c r="E646">
        <v>505814100</v>
      </c>
      <c r="F646">
        <v>351000000</v>
      </c>
      <c r="G646">
        <v>488000000</v>
      </c>
      <c r="H646">
        <v>2542000000</v>
      </c>
      <c r="I646" t="s">
        <v>18</v>
      </c>
      <c r="J646">
        <v>4368886791.3485603</v>
      </c>
      <c r="K646">
        <v>125000000</v>
      </c>
      <c r="L646" t="s">
        <v>18</v>
      </c>
      <c r="M646">
        <v>45.600651932186601</v>
      </c>
      <c r="N646">
        <v>60.810295394657999</v>
      </c>
      <c r="O646" t="s">
        <v>18</v>
      </c>
      <c r="P646">
        <v>9.2340999999999998</v>
      </c>
      <c r="Q646">
        <v>4.9419199999999996</v>
      </c>
      <c r="R646">
        <v>332489910</v>
      </c>
      <c r="S646" t="s">
        <v>18</v>
      </c>
      <c r="T646">
        <v>2893000000</v>
      </c>
    </row>
    <row r="647" spans="1:20" x14ac:dyDescent="0.2">
      <c r="A647" t="s">
        <v>129</v>
      </c>
      <c r="B647" t="s">
        <v>54</v>
      </c>
      <c r="C647">
        <v>2011</v>
      </c>
      <c r="D647">
        <v>7066000000</v>
      </c>
      <c r="E647">
        <v>668628630</v>
      </c>
      <c r="F647">
        <v>914000000</v>
      </c>
      <c r="G647">
        <v>335000000</v>
      </c>
      <c r="H647">
        <v>2754000000</v>
      </c>
      <c r="I647" t="s">
        <v>18</v>
      </c>
      <c r="J647">
        <v>2026510906.9561801</v>
      </c>
      <c r="K647">
        <v>156000000</v>
      </c>
      <c r="L647" t="s">
        <v>18</v>
      </c>
      <c r="M647">
        <v>40.259018937306898</v>
      </c>
      <c r="N647">
        <v>70.415140916655602</v>
      </c>
      <c r="O647" t="s">
        <v>18</v>
      </c>
      <c r="P647">
        <v>12.167630000000001</v>
      </c>
      <c r="Q647">
        <v>6.7630100000000004</v>
      </c>
      <c r="R647">
        <v>286076370</v>
      </c>
      <c r="S647" t="s">
        <v>18</v>
      </c>
      <c r="T647">
        <v>3668000000</v>
      </c>
    </row>
    <row r="648" spans="1:20" x14ac:dyDescent="0.2">
      <c r="A648" t="s">
        <v>129</v>
      </c>
      <c r="B648" t="s">
        <v>54</v>
      </c>
      <c r="C648">
        <v>2012</v>
      </c>
      <c r="D648">
        <v>7689000000</v>
      </c>
      <c r="E648">
        <v>858804670</v>
      </c>
      <c r="F648">
        <v>920000000</v>
      </c>
      <c r="G648">
        <v>375000000</v>
      </c>
      <c r="H648">
        <v>2576000000</v>
      </c>
      <c r="I648" t="s">
        <v>18</v>
      </c>
      <c r="J648">
        <v>752045789.99796402</v>
      </c>
      <c r="K648">
        <v>-166000000</v>
      </c>
      <c r="L648" t="s">
        <v>18</v>
      </c>
      <c r="M648">
        <v>31.249262306648699</v>
      </c>
      <c r="N648">
        <v>70.912242648655706</v>
      </c>
      <c r="O648" t="s">
        <v>18</v>
      </c>
      <c r="P648">
        <v>5.6031500000000003</v>
      </c>
      <c r="Q648">
        <v>-0.65112999999999999</v>
      </c>
      <c r="R648">
        <v>-169310870</v>
      </c>
      <c r="S648" t="s">
        <v>18</v>
      </c>
      <c r="T648">
        <v>3496000000</v>
      </c>
    </row>
    <row r="649" spans="1:20" x14ac:dyDescent="0.2">
      <c r="A649" t="s">
        <v>129</v>
      </c>
      <c r="B649" t="s">
        <v>54</v>
      </c>
      <c r="C649">
        <v>2013</v>
      </c>
      <c r="D649">
        <v>6972000000</v>
      </c>
      <c r="E649">
        <v>599015250</v>
      </c>
      <c r="F649">
        <v>1751000000</v>
      </c>
      <c r="G649">
        <v>851000000</v>
      </c>
      <c r="H649">
        <v>1622000000</v>
      </c>
      <c r="I649" t="s">
        <v>18</v>
      </c>
      <c r="J649">
        <v>4274693725.2999902</v>
      </c>
      <c r="K649">
        <v>-963000000</v>
      </c>
      <c r="L649" t="s">
        <v>18</v>
      </c>
      <c r="M649">
        <v>-0.64220141502920902</v>
      </c>
      <c r="N649">
        <v>67.577905789862299</v>
      </c>
      <c r="O649" t="s">
        <v>18</v>
      </c>
      <c r="P649">
        <v>6.5548799999999998</v>
      </c>
      <c r="Q649">
        <v>0.15243999999999999</v>
      </c>
      <c r="R649">
        <v>63943540</v>
      </c>
      <c r="S649" t="s">
        <v>18</v>
      </c>
      <c r="T649">
        <v>3373000000</v>
      </c>
    </row>
    <row r="650" spans="1:20" x14ac:dyDescent="0.2">
      <c r="A650" t="s">
        <v>129</v>
      </c>
      <c r="B650" t="s">
        <v>54</v>
      </c>
      <c r="C650">
        <v>2014</v>
      </c>
      <c r="D650">
        <v>5640000000</v>
      </c>
      <c r="E650">
        <v>-1001684820</v>
      </c>
      <c r="F650">
        <v>608000000</v>
      </c>
      <c r="G650">
        <v>623000000</v>
      </c>
      <c r="H650">
        <v>1524000000</v>
      </c>
      <c r="I650">
        <v>-1.1572089210755001</v>
      </c>
      <c r="J650">
        <v>6559826696.7273598</v>
      </c>
      <c r="K650">
        <v>-82000000</v>
      </c>
      <c r="L650">
        <v>9.6412717763754401</v>
      </c>
      <c r="M650">
        <v>-17.317362934025699</v>
      </c>
      <c r="N650">
        <v>62.875278706800401</v>
      </c>
      <c r="O650">
        <v>225.95272602739701</v>
      </c>
      <c r="P650">
        <v>9.9441199999999998</v>
      </c>
      <c r="Q650">
        <v>3.4516800000000001</v>
      </c>
      <c r="R650">
        <v>555052730</v>
      </c>
      <c r="S650">
        <v>100</v>
      </c>
      <c r="T650">
        <v>2132000000</v>
      </c>
    </row>
    <row r="651" spans="1:20" x14ac:dyDescent="0.2">
      <c r="A651" t="s">
        <v>129</v>
      </c>
      <c r="B651" t="s">
        <v>54</v>
      </c>
      <c r="C651">
        <v>2015</v>
      </c>
      <c r="D651">
        <v>6997000000</v>
      </c>
      <c r="E651">
        <v>-2032547130</v>
      </c>
      <c r="F651">
        <v>607000000</v>
      </c>
      <c r="G651">
        <v>1819000000</v>
      </c>
      <c r="H651">
        <v>2379000000</v>
      </c>
      <c r="I651">
        <v>-1.7568062727670599</v>
      </c>
      <c r="J651">
        <v>13815741370.0257</v>
      </c>
      <c r="K651">
        <v>392000000</v>
      </c>
      <c r="L651">
        <v>4.29574246383324</v>
      </c>
      <c r="M651">
        <v>-19.7065795654166</v>
      </c>
      <c r="N651">
        <v>68.552029409983902</v>
      </c>
      <c r="O651">
        <v>90.208895705521499</v>
      </c>
      <c r="P651">
        <v>13.444279999999999</v>
      </c>
      <c r="Q651">
        <v>8.1476100000000002</v>
      </c>
      <c r="R651">
        <v>804122170</v>
      </c>
      <c r="S651">
        <v>100</v>
      </c>
      <c r="T651">
        <v>2986000000</v>
      </c>
    </row>
    <row r="652" spans="1:20" x14ac:dyDescent="0.2">
      <c r="A652" t="s">
        <v>129</v>
      </c>
      <c r="B652" t="s">
        <v>54</v>
      </c>
      <c r="C652">
        <v>2016</v>
      </c>
      <c r="D652">
        <v>8587000000</v>
      </c>
      <c r="E652">
        <v>-2759656400</v>
      </c>
      <c r="F652">
        <v>495000000</v>
      </c>
      <c r="G652">
        <v>2569000000</v>
      </c>
      <c r="H652">
        <v>2899000000</v>
      </c>
      <c r="I652">
        <v>-1.54670845536574</v>
      </c>
      <c r="J652">
        <v>13412062785.1626</v>
      </c>
      <c r="K652">
        <v>685000000</v>
      </c>
      <c r="L652">
        <v>-7.4450381044206102</v>
      </c>
      <c r="M652">
        <v>-14.0818228271223</v>
      </c>
      <c r="N652">
        <v>64.280740093240098</v>
      </c>
      <c r="O652">
        <v>34.778309782608702</v>
      </c>
      <c r="P652">
        <v>14.38917</v>
      </c>
      <c r="Q652">
        <v>10.245760000000001</v>
      </c>
      <c r="R652">
        <v>1337636330</v>
      </c>
      <c r="S652">
        <v>100</v>
      </c>
      <c r="T652">
        <v>3394000000</v>
      </c>
    </row>
    <row r="653" spans="1:20" x14ac:dyDescent="0.2">
      <c r="A653" t="s">
        <v>129</v>
      </c>
      <c r="B653" t="s">
        <v>54</v>
      </c>
      <c r="C653">
        <v>2017</v>
      </c>
      <c r="D653">
        <v>9931000000</v>
      </c>
      <c r="E653">
        <v>-3133857750</v>
      </c>
      <c r="F653">
        <v>496000000</v>
      </c>
      <c r="G653">
        <v>3215000000</v>
      </c>
      <c r="H653">
        <v>3190000000</v>
      </c>
      <c r="I653">
        <v>-1.9012614495092099</v>
      </c>
      <c r="J653">
        <v>11136475441.676399</v>
      </c>
      <c r="K653">
        <v>965000000</v>
      </c>
      <c r="L653">
        <v>1.4048951567776899</v>
      </c>
      <c r="M653">
        <v>-7.7766323659327101</v>
      </c>
      <c r="N653">
        <v>58.212820165945097</v>
      </c>
      <c r="O653">
        <v>-8.1764028629856806</v>
      </c>
      <c r="P653">
        <v>17.837260000000001</v>
      </c>
      <c r="Q653">
        <v>14.154540000000001</v>
      </c>
      <c r="R653">
        <v>1282129530</v>
      </c>
      <c r="S653">
        <v>100</v>
      </c>
      <c r="T653">
        <v>3686000000</v>
      </c>
    </row>
    <row r="654" spans="1:20" x14ac:dyDescent="0.2">
      <c r="A654" t="s">
        <v>129</v>
      </c>
      <c r="B654" t="s">
        <v>54</v>
      </c>
      <c r="C654">
        <v>2018</v>
      </c>
      <c r="D654">
        <v>10871000000</v>
      </c>
      <c r="E654">
        <v>-2903675500</v>
      </c>
      <c r="F654">
        <v>497000000</v>
      </c>
      <c r="G654">
        <v>3197000000</v>
      </c>
      <c r="H654">
        <v>3112000000</v>
      </c>
      <c r="I654">
        <v>-1.9168453842258</v>
      </c>
      <c r="J654">
        <v>13565595865.0457</v>
      </c>
      <c r="K654">
        <v>894000000</v>
      </c>
      <c r="L654">
        <v>6.2656832554226796</v>
      </c>
      <c r="M654">
        <v>7.88186432090008</v>
      </c>
      <c r="N654">
        <v>62.267905300835103</v>
      </c>
      <c r="O654">
        <v>25.245152749490799</v>
      </c>
      <c r="P654">
        <v>16.587959999999999</v>
      </c>
      <c r="Q654">
        <v>12.589169999999999</v>
      </c>
      <c r="R654">
        <v>1009385560</v>
      </c>
      <c r="S654">
        <v>100</v>
      </c>
      <c r="T654">
        <v>3609000000</v>
      </c>
    </row>
    <row r="655" spans="1:20" x14ac:dyDescent="0.2">
      <c r="A655" t="s">
        <v>129</v>
      </c>
      <c r="B655" t="s">
        <v>54</v>
      </c>
      <c r="C655">
        <v>2019</v>
      </c>
      <c r="D655">
        <v>11899000000</v>
      </c>
      <c r="E655">
        <v>-2642893870</v>
      </c>
      <c r="F655">
        <v>498000000</v>
      </c>
      <c r="G655">
        <v>2886000000</v>
      </c>
      <c r="H655">
        <v>3092000000</v>
      </c>
      <c r="I655">
        <v>-1.7560292859634601</v>
      </c>
      <c r="J655">
        <v>17187044175.392799</v>
      </c>
      <c r="K655">
        <v>683000000</v>
      </c>
      <c r="L655">
        <v>14.106144464483201</v>
      </c>
      <c r="M655">
        <v>18.298021148974499</v>
      </c>
      <c r="N655">
        <v>73.567361591774301</v>
      </c>
      <c r="O655">
        <v>30.194084019769399</v>
      </c>
      <c r="P655">
        <v>13.75567</v>
      </c>
      <c r="Q655">
        <v>9.5519999999999996</v>
      </c>
      <c r="R655">
        <v>998255110</v>
      </c>
      <c r="S655">
        <v>100</v>
      </c>
      <c r="T655">
        <v>3602000000</v>
      </c>
    </row>
    <row r="656" spans="1:20" x14ac:dyDescent="0.2">
      <c r="A656" t="s">
        <v>129</v>
      </c>
      <c r="B656" t="s">
        <v>54</v>
      </c>
      <c r="C656">
        <v>2020</v>
      </c>
      <c r="D656">
        <v>14331000000</v>
      </c>
      <c r="E656">
        <v>-2399500470</v>
      </c>
      <c r="F656">
        <v>820000000</v>
      </c>
      <c r="G656">
        <v>2864000000</v>
      </c>
      <c r="H656">
        <v>3293000000</v>
      </c>
      <c r="I656">
        <v>-1.5904512001276101</v>
      </c>
      <c r="J656">
        <v>32888565922.5994</v>
      </c>
      <c r="K656">
        <v>700000000</v>
      </c>
      <c r="L656">
        <v>2.55031779423829</v>
      </c>
      <c r="M656">
        <v>22.7901090515894</v>
      </c>
      <c r="N656">
        <v>79.799419689505896</v>
      </c>
      <c r="O656">
        <v>45.094818181818198</v>
      </c>
      <c r="P656">
        <v>12.760350000000001</v>
      </c>
      <c r="Q656">
        <v>8.2654200000000007</v>
      </c>
      <c r="R656">
        <v>852903710</v>
      </c>
      <c r="S656">
        <v>100</v>
      </c>
      <c r="T656">
        <v>4165000000</v>
      </c>
    </row>
    <row r="657" spans="1:20" x14ac:dyDescent="0.2">
      <c r="A657" t="s">
        <v>129</v>
      </c>
      <c r="B657" t="s">
        <v>54</v>
      </c>
      <c r="C657">
        <v>2021</v>
      </c>
      <c r="D657">
        <v>18160000000</v>
      </c>
      <c r="E657">
        <v>-1680307800</v>
      </c>
      <c r="F657">
        <v>1354000000</v>
      </c>
      <c r="G657">
        <v>3039000000</v>
      </c>
      <c r="H657">
        <v>4654000000</v>
      </c>
      <c r="I657">
        <v>-0.99997630201412202</v>
      </c>
      <c r="J657">
        <v>29594708571.027599</v>
      </c>
      <c r="K657">
        <v>771000000</v>
      </c>
      <c r="L657">
        <v>4.1318151891553203</v>
      </c>
      <c r="M657">
        <v>13.3308442205403</v>
      </c>
      <c r="N657">
        <v>76.091385749986202</v>
      </c>
      <c r="O657">
        <v>132.68658839050099</v>
      </c>
      <c r="P657">
        <v>9.3865999999999996</v>
      </c>
      <c r="Q657">
        <v>5.1353</v>
      </c>
      <c r="R657">
        <v>655717950</v>
      </c>
      <c r="S657">
        <v>100</v>
      </c>
      <c r="T657">
        <v>6057000000</v>
      </c>
    </row>
    <row r="658" spans="1:20" x14ac:dyDescent="0.2">
      <c r="A658" t="s">
        <v>129</v>
      </c>
      <c r="B658" t="s">
        <v>54</v>
      </c>
      <c r="C658">
        <v>2022</v>
      </c>
      <c r="D658">
        <v>19648000000</v>
      </c>
      <c r="E658">
        <v>688114000</v>
      </c>
      <c r="F658">
        <v>1436000000</v>
      </c>
      <c r="G658">
        <v>2394000000</v>
      </c>
      <c r="H658">
        <v>4684000000</v>
      </c>
      <c r="I658">
        <v>2.8330966376357001</v>
      </c>
      <c r="J658">
        <v>24618416247.818001</v>
      </c>
      <c r="K658">
        <v>143000000</v>
      </c>
      <c r="L658">
        <v>0.61157245178365205</v>
      </c>
      <c r="M658">
        <v>11.321611263170199</v>
      </c>
      <c r="N658">
        <v>81.943140147277205</v>
      </c>
      <c r="O658">
        <v>79.588771008403398</v>
      </c>
      <c r="P658">
        <v>8.6097400000000004</v>
      </c>
      <c r="Q658">
        <v>2.7458800000000001</v>
      </c>
      <c r="R658">
        <v>-1013279260</v>
      </c>
      <c r="S658">
        <v>100</v>
      </c>
      <c r="T658">
        <v>6133000000</v>
      </c>
    </row>
    <row r="659" spans="1:20" x14ac:dyDescent="0.2">
      <c r="A659" t="s">
        <v>129</v>
      </c>
      <c r="B659" t="s">
        <v>54</v>
      </c>
      <c r="C659">
        <v>2023</v>
      </c>
      <c r="D659">
        <v>20090000000</v>
      </c>
      <c r="E659">
        <v>523048200</v>
      </c>
      <c r="F659">
        <v>2427000000</v>
      </c>
      <c r="G659">
        <v>2352000000</v>
      </c>
      <c r="H659">
        <v>3044000000</v>
      </c>
      <c r="I659">
        <v>0.48940058902454397</v>
      </c>
      <c r="J659">
        <v>25553364524.862801</v>
      </c>
      <c r="K659">
        <v>-1572000000</v>
      </c>
      <c r="L659">
        <v>12.4064977873287</v>
      </c>
      <c r="M659">
        <v>10.774674334634501</v>
      </c>
      <c r="N659">
        <v>75.896163570487403</v>
      </c>
      <c r="O659">
        <v>-3.0831990231990201</v>
      </c>
      <c r="P659">
        <v>-0.43490000000000001</v>
      </c>
      <c r="Q659">
        <v>-6.6408899999999997</v>
      </c>
      <c r="R659">
        <v>199665060</v>
      </c>
      <c r="S659">
        <v>100</v>
      </c>
      <c r="T659">
        <v>5487000000</v>
      </c>
    </row>
    <row r="660" spans="1:20" x14ac:dyDescent="0.2">
      <c r="A660" t="s">
        <v>129</v>
      </c>
      <c r="B660" t="s">
        <v>54</v>
      </c>
      <c r="C660">
        <v>2024</v>
      </c>
      <c r="D660">
        <v>22514000000</v>
      </c>
      <c r="E660">
        <v>-395240150</v>
      </c>
      <c r="F660">
        <v>3387000000</v>
      </c>
      <c r="G660">
        <v>3288000000</v>
      </c>
      <c r="H660">
        <v>3027000000</v>
      </c>
      <c r="I660">
        <v>-0.29129368678835399</v>
      </c>
      <c r="J660">
        <v>14857142466.4231</v>
      </c>
      <c r="K660">
        <v>78000000</v>
      </c>
      <c r="L660">
        <v>14.147945475823599</v>
      </c>
      <c r="M660">
        <v>8.0028541718548496</v>
      </c>
      <c r="N660">
        <v>71.102110445334404</v>
      </c>
      <c r="O660">
        <v>128.861596491228</v>
      </c>
      <c r="P660">
        <v>5.36991</v>
      </c>
      <c r="Q660">
        <v>0.23404</v>
      </c>
      <c r="R660">
        <v>655253110</v>
      </c>
      <c r="S660">
        <v>100</v>
      </c>
      <c r="T660">
        <v>6429000000</v>
      </c>
    </row>
    <row r="661" spans="1:20" x14ac:dyDescent="0.2">
      <c r="A661" t="s">
        <v>129</v>
      </c>
      <c r="B661" t="s">
        <v>54</v>
      </c>
      <c r="C661">
        <v>2025</v>
      </c>
      <c r="D661">
        <v>24644000000</v>
      </c>
      <c r="E661">
        <v>-1181331920</v>
      </c>
      <c r="F661">
        <v>3271000000</v>
      </c>
      <c r="G661">
        <v>3785000000</v>
      </c>
      <c r="H661">
        <v>3529000000</v>
      </c>
      <c r="I661">
        <v>-0.60279346044756899</v>
      </c>
      <c r="J661">
        <v>20797141922.889999</v>
      </c>
      <c r="K661">
        <v>494000000</v>
      </c>
      <c r="L661">
        <v>9.3913437297752491</v>
      </c>
      <c r="M661">
        <v>8.2789542147780395</v>
      </c>
      <c r="N661">
        <v>71.456517953614707</v>
      </c>
      <c r="O661">
        <v>70.090786567164201</v>
      </c>
      <c r="P661">
        <v>9.2801399999999994</v>
      </c>
      <c r="Q661">
        <v>4.33073</v>
      </c>
      <c r="R661">
        <v>1100813520</v>
      </c>
      <c r="S661">
        <v>100</v>
      </c>
      <c r="T661">
        <v>6813000000</v>
      </c>
    </row>
    <row r="662" spans="1:20" x14ac:dyDescent="0.2">
      <c r="A662" t="s">
        <v>130</v>
      </c>
      <c r="B662" t="s">
        <v>55</v>
      </c>
      <c r="C662">
        <v>2004</v>
      </c>
      <c r="D662">
        <v>2505100000</v>
      </c>
      <c r="E662" t="s">
        <v>18</v>
      </c>
      <c r="F662">
        <v>963400000</v>
      </c>
      <c r="G662">
        <v>23400000</v>
      </c>
      <c r="H662">
        <v>598300000</v>
      </c>
      <c r="I662" t="s">
        <v>18</v>
      </c>
      <c r="J662" t="s">
        <v>18</v>
      </c>
      <c r="K662">
        <v>-95400000</v>
      </c>
      <c r="L662" t="s">
        <v>18</v>
      </c>
      <c r="M662" t="s">
        <v>18</v>
      </c>
      <c r="N662" t="s">
        <v>18</v>
      </c>
      <c r="O662" t="s">
        <v>18</v>
      </c>
      <c r="P662">
        <v>14.670120000000001</v>
      </c>
      <c r="Q662">
        <v>-2.3828800000000001</v>
      </c>
      <c r="R662" t="s">
        <v>18</v>
      </c>
      <c r="S662" t="s">
        <v>18</v>
      </c>
      <c r="T662">
        <v>1590000000</v>
      </c>
    </row>
    <row r="663" spans="1:20" x14ac:dyDescent="0.2">
      <c r="A663" t="s">
        <v>130</v>
      </c>
      <c r="B663" t="s">
        <v>55</v>
      </c>
      <c r="C663">
        <v>2005</v>
      </c>
      <c r="D663">
        <v>2455000000</v>
      </c>
      <c r="E663" t="s">
        <v>18</v>
      </c>
      <c r="F663">
        <v>827500000</v>
      </c>
      <c r="G663">
        <v>24500000</v>
      </c>
      <c r="H663">
        <v>649400000</v>
      </c>
      <c r="I663" t="s">
        <v>18</v>
      </c>
      <c r="J663" t="s">
        <v>18</v>
      </c>
      <c r="K663">
        <v>79500000</v>
      </c>
      <c r="L663" t="s">
        <v>18</v>
      </c>
      <c r="M663" t="s">
        <v>18</v>
      </c>
      <c r="N663">
        <v>36.147735665438198</v>
      </c>
      <c r="O663" t="s">
        <v>18</v>
      </c>
      <c r="P663">
        <v>20.139220000000002</v>
      </c>
      <c r="Q663">
        <v>7.6805099999999999</v>
      </c>
      <c r="R663" t="s">
        <v>18</v>
      </c>
      <c r="S663" t="s">
        <v>18</v>
      </c>
      <c r="T663">
        <v>1506100000</v>
      </c>
    </row>
    <row r="664" spans="1:20" x14ac:dyDescent="0.2">
      <c r="A664" t="s">
        <v>130</v>
      </c>
      <c r="B664" t="s">
        <v>55</v>
      </c>
      <c r="C664">
        <v>2006</v>
      </c>
      <c r="D664">
        <v>2922900000</v>
      </c>
      <c r="E664">
        <v>549372130</v>
      </c>
      <c r="F664">
        <v>921500000</v>
      </c>
      <c r="G664">
        <v>34700000</v>
      </c>
      <c r="H664">
        <v>931100000</v>
      </c>
      <c r="I664" t="s">
        <v>18</v>
      </c>
      <c r="J664">
        <v>5345641500</v>
      </c>
      <c r="K664">
        <v>143400000</v>
      </c>
      <c r="L664" t="s">
        <v>18</v>
      </c>
      <c r="M664" t="s">
        <v>18</v>
      </c>
      <c r="N664">
        <v>38.533990020868501</v>
      </c>
      <c r="O664" t="s">
        <v>18</v>
      </c>
      <c r="P664">
        <v>21.97627</v>
      </c>
      <c r="Q664">
        <v>9.2317699999999991</v>
      </c>
      <c r="R664">
        <v>417507270</v>
      </c>
      <c r="S664" t="s">
        <v>18</v>
      </c>
      <c r="T664">
        <v>1855900000</v>
      </c>
    </row>
    <row r="665" spans="1:20" x14ac:dyDescent="0.2">
      <c r="A665" t="s">
        <v>130</v>
      </c>
      <c r="B665" t="s">
        <v>55</v>
      </c>
      <c r="C665">
        <v>2007</v>
      </c>
      <c r="D665">
        <v>3258200000</v>
      </c>
      <c r="E665">
        <v>247863000</v>
      </c>
      <c r="F665">
        <v>390700000</v>
      </c>
      <c r="G665">
        <v>42900000</v>
      </c>
      <c r="H665">
        <v>1569900000</v>
      </c>
      <c r="I665" t="s">
        <v>18</v>
      </c>
      <c r="J665">
        <v>9922553676</v>
      </c>
      <c r="K665">
        <v>311800000</v>
      </c>
      <c r="L665" t="s">
        <v>18</v>
      </c>
      <c r="M665" t="s">
        <v>18</v>
      </c>
      <c r="N665">
        <v>48.077619691607701</v>
      </c>
      <c r="O665" t="s">
        <v>18</v>
      </c>
      <c r="P665">
        <v>23.623719999999999</v>
      </c>
      <c r="Q665">
        <v>13.734299999999999</v>
      </c>
      <c r="R665">
        <v>650017070</v>
      </c>
      <c r="S665" t="s">
        <v>18</v>
      </c>
      <c r="T665">
        <v>1976500000</v>
      </c>
    </row>
    <row r="666" spans="1:20" x14ac:dyDescent="0.2">
      <c r="A666" t="s">
        <v>130</v>
      </c>
      <c r="B666" t="s">
        <v>55</v>
      </c>
      <c r="C666">
        <v>2008</v>
      </c>
      <c r="D666">
        <v>3918100000</v>
      </c>
      <c r="E666">
        <v>142017750</v>
      </c>
      <c r="F666">
        <v>198700000</v>
      </c>
      <c r="G666">
        <v>366500000</v>
      </c>
      <c r="H666">
        <v>1850300000</v>
      </c>
      <c r="I666" t="s">
        <v>18</v>
      </c>
      <c r="J666">
        <v>3896320746</v>
      </c>
      <c r="K666">
        <v>422200000</v>
      </c>
      <c r="L666" t="s">
        <v>18</v>
      </c>
      <c r="M666">
        <v>15.236826085049</v>
      </c>
      <c r="N666">
        <v>45.112218412525401</v>
      </c>
      <c r="O666" t="s">
        <v>18</v>
      </c>
      <c r="P666">
        <v>27.173190000000002</v>
      </c>
      <c r="Q666">
        <v>17.866869999999999</v>
      </c>
      <c r="R666">
        <v>807594750</v>
      </c>
      <c r="S666" t="s">
        <v>18</v>
      </c>
      <c r="T666">
        <v>2064300000</v>
      </c>
    </row>
    <row r="667" spans="1:20" x14ac:dyDescent="0.2">
      <c r="A667" t="s">
        <v>130</v>
      </c>
      <c r="B667" t="s">
        <v>55</v>
      </c>
      <c r="C667">
        <v>2009</v>
      </c>
      <c r="D667">
        <v>4625100000</v>
      </c>
      <c r="E667">
        <v>325669930</v>
      </c>
      <c r="F667">
        <v>272400000</v>
      </c>
      <c r="G667">
        <v>305300000</v>
      </c>
      <c r="H667">
        <v>2068400000</v>
      </c>
      <c r="I667" t="s">
        <v>18</v>
      </c>
      <c r="J667">
        <v>5936530458</v>
      </c>
      <c r="K667">
        <v>438300000</v>
      </c>
      <c r="L667" t="s">
        <v>18</v>
      </c>
      <c r="M667">
        <v>19.165791760789599</v>
      </c>
      <c r="N667">
        <v>48.228337813920902</v>
      </c>
      <c r="O667" t="s">
        <v>18</v>
      </c>
      <c r="P667">
        <v>25.776509999999998</v>
      </c>
      <c r="Q667">
        <v>16.300229999999999</v>
      </c>
      <c r="R667">
        <v>220634780</v>
      </c>
      <c r="S667">
        <v>11.212999999999999</v>
      </c>
      <c r="T667">
        <v>2355200000</v>
      </c>
    </row>
    <row r="668" spans="1:20" x14ac:dyDescent="0.2">
      <c r="A668" t="s">
        <v>130</v>
      </c>
      <c r="B668" t="s">
        <v>55</v>
      </c>
      <c r="C668">
        <v>2010</v>
      </c>
      <c r="D668">
        <v>4541900000</v>
      </c>
      <c r="E668">
        <v>111115650</v>
      </c>
      <c r="F668">
        <v>436100000</v>
      </c>
      <c r="G668">
        <v>363600000</v>
      </c>
      <c r="H668">
        <v>1925500000</v>
      </c>
      <c r="I668" t="s">
        <v>18</v>
      </c>
      <c r="J668">
        <v>7027562850</v>
      </c>
      <c r="K668">
        <v>-74500000</v>
      </c>
      <c r="L668" t="s">
        <v>18</v>
      </c>
      <c r="M668">
        <v>16.091606209296099</v>
      </c>
      <c r="N668">
        <v>42.087811465703901</v>
      </c>
      <c r="O668" t="s">
        <v>18</v>
      </c>
      <c r="P668">
        <v>25.244</v>
      </c>
      <c r="Q668">
        <v>9.6523500000000002</v>
      </c>
      <c r="R668">
        <v>757241000</v>
      </c>
      <c r="S668">
        <v>22.1251</v>
      </c>
      <c r="T668">
        <v>2378500000</v>
      </c>
    </row>
    <row r="669" spans="1:20" x14ac:dyDescent="0.2">
      <c r="A669" t="s">
        <v>130</v>
      </c>
      <c r="B669" t="s">
        <v>55</v>
      </c>
      <c r="C669">
        <v>2011</v>
      </c>
      <c r="D669">
        <v>5501200000</v>
      </c>
      <c r="E669">
        <v>52333740</v>
      </c>
      <c r="F669">
        <v>529200000</v>
      </c>
      <c r="G669">
        <v>545200000</v>
      </c>
      <c r="H669">
        <v>2422100000</v>
      </c>
      <c r="I669" t="s">
        <v>18</v>
      </c>
      <c r="J669">
        <v>3612089076</v>
      </c>
      <c r="K669">
        <v>497000000</v>
      </c>
      <c r="L669" t="s">
        <v>18</v>
      </c>
      <c r="M669">
        <v>15.188819047319001</v>
      </c>
      <c r="N669">
        <v>55.818983987486</v>
      </c>
      <c r="O669" t="s">
        <v>18</v>
      </c>
      <c r="P669">
        <v>26.44049</v>
      </c>
      <c r="Q669">
        <v>17.38691</v>
      </c>
      <c r="R669">
        <v>753880610</v>
      </c>
      <c r="S669">
        <v>21.078700000000001</v>
      </c>
      <c r="T669">
        <v>2976000000</v>
      </c>
    </row>
    <row r="670" spans="1:20" x14ac:dyDescent="0.2">
      <c r="A670" t="s">
        <v>130</v>
      </c>
      <c r="B670" t="s">
        <v>55</v>
      </c>
      <c r="C670">
        <v>2012</v>
      </c>
      <c r="D670">
        <v>6274400000</v>
      </c>
      <c r="E670">
        <v>873463890</v>
      </c>
      <c r="F670">
        <v>777900000</v>
      </c>
      <c r="G670">
        <v>473900000</v>
      </c>
      <c r="H670">
        <v>2376700000</v>
      </c>
      <c r="I670" t="s">
        <v>18</v>
      </c>
      <c r="J670">
        <v>2194535616</v>
      </c>
      <c r="K670">
        <v>356100000</v>
      </c>
      <c r="L670" t="s">
        <v>18</v>
      </c>
      <c r="M670">
        <v>-4.1800295158414302</v>
      </c>
      <c r="N670">
        <v>53.540464815082998</v>
      </c>
      <c r="O670" t="s">
        <v>18</v>
      </c>
      <c r="P670">
        <v>23.697990000000001</v>
      </c>
      <c r="Q670">
        <v>13.4937</v>
      </c>
      <c r="R670">
        <v>233880330</v>
      </c>
      <c r="S670">
        <v>21.3781</v>
      </c>
      <c r="T670">
        <v>3180900000</v>
      </c>
    </row>
    <row r="671" spans="1:20" x14ac:dyDescent="0.2">
      <c r="A671" t="s">
        <v>130</v>
      </c>
      <c r="B671" t="s">
        <v>55</v>
      </c>
      <c r="C671">
        <v>2013</v>
      </c>
      <c r="D671">
        <v>6492800000</v>
      </c>
      <c r="E671">
        <v>1123978730</v>
      </c>
      <c r="F671">
        <v>1187800000</v>
      </c>
      <c r="G671">
        <v>192600000</v>
      </c>
      <c r="H671">
        <v>2103100000</v>
      </c>
      <c r="I671" t="s">
        <v>18</v>
      </c>
      <c r="J671">
        <v>4093457574</v>
      </c>
      <c r="K671">
        <v>114700000</v>
      </c>
      <c r="L671" t="s">
        <v>18</v>
      </c>
      <c r="M671">
        <v>-3.4699296591242299</v>
      </c>
      <c r="N671">
        <v>56.326444021666603</v>
      </c>
      <c r="O671" t="s">
        <v>18</v>
      </c>
      <c r="P671">
        <v>17.659500000000001</v>
      </c>
      <c r="Q671">
        <v>6.2504</v>
      </c>
      <c r="R671">
        <v>117842890</v>
      </c>
      <c r="S671">
        <v>17.4114</v>
      </c>
      <c r="T671">
        <v>3309100000</v>
      </c>
    </row>
    <row r="672" spans="1:20" x14ac:dyDescent="0.2">
      <c r="A672" t="s">
        <v>130</v>
      </c>
      <c r="B672" t="s">
        <v>55</v>
      </c>
      <c r="C672">
        <v>2014</v>
      </c>
      <c r="D672">
        <v>6332400000</v>
      </c>
      <c r="E672">
        <v>1363084570</v>
      </c>
      <c r="F672">
        <v>1117400000</v>
      </c>
      <c r="G672">
        <v>431800000</v>
      </c>
      <c r="H672">
        <v>2178800000</v>
      </c>
      <c r="I672">
        <v>1.70236655942183</v>
      </c>
      <c r="J672">
        <v>4761532380</v>
      </c>
      <c r="K672">
        <v>6300000</v>
      </c>
      <c r="L672">
        <v>7.0179398272026798</v>
      </c>
      <c r="M672">
        <v>-17.614613582602701</v>
      </c>
      <c r="N672">
        <v>51.387092995169503</v>
      </c>
      <c r="O672">
        <v>17.824319444444399</v>
      </c>
      <c r="P672">
        <v>13.81143</v>
      </c>
      <c r="Q672">
        <v>2.0362100000000001</v>
      </c>
      <c r="R672">
        <v>373905940</v>
      </c>
      <c r="S672">
        <v>0</v>
      </c>
      <c r="T672">
        <v>3314500000</v>
      </c>
    </row>
    <row r="673" spans="1:20" x14ac:dyDescent="0.2">
      <c r="A673" t="s">
        <v>130</v>
      </c>
      <c r="B673" t="s">
        <v>55</v>
      </c>
      <c r="C673">
        <v>2015</v>
      </c>
      <c r="D673">
        <v>6947200000</v>
      </c>
      <c r="E673">
        <v>1471492730</v>
      </c>
      <c r="F673">
        <v>1224100000</v>
      </c>
      <c r="G673">
        <v>325900000</v>
      </c>
      <c r="H673">
        <v>1922400000</v>
      </c>
      <c r="I673">
        <v>1.3283657366934201</v>
      </c>
      <c r="J673">
        <v>4392291972</v>
      </c>
      <c r="K673">
        <v>195400000</v>
      </c>
      <c r="L673">
        <v>6.3183771984471999</v>
      </c>
      <c r="M673">
        <v>-19.371630777191999</v>
      </c>
      <c r="N673">
        <v>53.1301804580281</v>
      </c>
      <c r="O673">
        <v>36.297490387976197</v>
      </c>
      <c r="P673">
        <v>17.2178</v>
      </c>
      <c r="Q673">
        <v>5.00373</v>
      </c>
      <c r="R673">
        <v>391679210</v>
      </c>
      <c r="S673">
        <v>0</v>
      </c>
      <c r="T673">
        <v>3170600000</v>
      </c>
    </row>
    <row r="674" spans="1:20" x14ac:dyDescent="0.2">
      <c r="A674" t="s">
        <v>130</v>
      </c>
      <c r="B674" t="s">
        <v>55</v>
      </c>
      <c r="C674">
        <v>2016</v>
      </c>
      <c r="D674">
        <v>7264400000</v>
      </c>
      <c r="E674">
        <v>1662369470</v>
      </c>
      <c r="F674">
        <v>1039300000</v>
      </c>
      <c r="G674">
        <v>310500000</v>
      </c>
      <c r="H674">
        <v>2568200000</v>
      </c>
      <c r="I674">
        <v>1.5860651202629501</v>
      </c>
      <c r="J674">
        <v>4333359534</v>
      </c>
      <c r="K674">
        <v>241800000</v>
      </c>
      <c r="L674">
        <v>5.6736282767470003</v>
      </c>
      <c r="M674">
        <v>-7.8422989969253898</v>
      </c>
      <c r="N674">
        <v>55.166858669410097</v>
      </c>
      <c r="O674">
        <v>-45.901351318944798</v>
      </c>
      <c r="P674">
        <v>18.483059999999998</v>
      </c>
      <c r="Q674">
        <v>7.6148899999999999</v>
      </c>
      <c r="R674">
        <v>312653670</v>
      </c>
      <c r="S674">
        <v>0</v>
      </c>
      <c r="T674">
        <v>3834400000</v>
      </c>
    </row>
    <row r="675" spans="1:20" x14ac:dyDescent="0.2">
      <c r="A675" t="s">
        <v>130</v>
      </c>
      <c r="B675" t="s">
        <v>55</v>
      </c>
      <c r="C675">
        <v>2017</v>
      </c>
      <c r="D675">
        <v>7461600000</v>
      </c>
      <c r="E675">
        <v>957337170</v>
      </c>
      <c r="F675">
        <v>1026900000</v>
      </c>
      <c r="G675">
        <v>283500000</v>
      </c>
      <c r="H675">
        <v>2379400000</v>
      </c>
      <c r="I675">
        <v>0.81426589746966604</v>
      </c>
      <c r="J675">
        <v>7087538340</v>
      </c>
      <c r="K675">
        <v>178100000</v>
      </c>
      <c r="L675">
        <v>3.3126752109425599</v>
      </c>
      <c r="M675">
        <v>-8.0146077961170192</v>
      </c>
      <c r="N675">
        <v>53.186814693162397</v>
      </c>
      <c r="O675">
        <v>-25.599968895800899</v>
      </c>
      <c r="P675">
        <v>22.56484</v>
      </c>
      <c r="Q675">
        <v>6.7001900000000001</v>
      </c>
      <c r="R675">
        <v>397104310</v>
      </c>
      <c r="S675">
        <v>21.604900000000001</v>
      </c>
      <c r="T675">
        <v>3620100000</v>
      </c>
    </row>
    <row r="676" spans="1:20" x14ac:dyDescent="0.2">
      <c r="A676" t="s">
        <v>130</v>
      </c>
      <c r="B676" t="s">
        <v>55</v>
      </c>
      <c r="C676">
        <v>2018</v>
      </c>
      <c r="D676">
        <v>6835700000</v>
      </c>
      <c r="E676">
        <v>558734080</v>
      </c>
      <c r="F676">
        <v>663300000</v>
      </c>
      <c r="G676">
        <v>286900000</v>
      </c>
      <c r="H676">
        <v>3119200000</v>
      </c>
      <c r="I676">
        <v>0.538369532932374</v>
      </c>
      <c r="J676">
        <v>4432971000</v>
      </c>
      <c r="K676">
        <v>250100000</v>
      </c>
      <c r="L676">
        <v>2.6263993715187799</v>
      </c>
      <c r="M676">
        <v>-19.0280518766683</v>
      </c>
      <c r="N676">
        <v>64.972234881984704</v>
      </c>
      <c r="O676">
        <v>40.913760000000003</v>
      </c>
      <c r="P676">
        <v>20.555620000000001</v>
      </c>
      <c r="Q676">
        <v>7.9708399999999999</v>
      </c>
      <c r="R676">
        <v>515283500</v>
      </c>
      <c r="S676">
        <v>22.675899999999999</v>
      </c>
      <c r="T676">
        <v>3832600000</v>
      </c>
    </row>
    <row r="677" spans="1:20" x14ac:dyDescent="0.2">
      <c r="A677" t="s">
        <v>130</v>
      </c>
      <c r="B677" t="s">
        <v>55</v>
      </c>
      <c r="C677">
        <v>2019</v>
      </c>
      <c r="D677">
        <v>7118700000</v>
      </c>
      <c r="E677">
        <v>1001280080</v>
      </c>
      <c r="F677">
        <v>701300000</v>
      </c>
      <c r="G677">
        <v>341100000</v>
      </c>
      <c r="H677">
        <v>3087200000</v>
      </c>
      <c r="I677">
        <v>1.5760817735497801</v>
      </c>
      <c r="J677">
        <v>3264752760</v>
      </c>
      <c r="K677">
        <v>260100000</v>
      </c>
      <c r="L677">
        <v>3.298220127794</v>
      </c>
      <c r="M677">
        <v>-6.3365289891263101</v>
      </c>
      <c r="N677">
        <v>66.730330791611607</v>
      </c>
      <c r="O677">
        <v>-0.76817025440313103</v>
      </c>
      <c r="P677">
        <v>16.275010000000002</v>
      </c>
      <c r="Q677">
        <v>5.4209800000000001</v>
      </c>
      <c r="R677">
        <v>205845000</v>
      </c>
      <c r="S677">
        <v>20.3139</v>
      </c>
      <c r="T677">
        <v>3846800000</v>
      </c>
    </row>
    <row r="678" spans="1:20" x14ac:dyDescent="0.2">
      <c r="A678" t="s">
        <v>130</v>
      </c>
      <c r="B678" t="s">
        <v>55</v>
      </c>
      <c r="C678">
        <v>2020</v>
      </c>
      <c r="D678">
        <v>6491000000</v>
      </c>
      <c r="E678">
        <v>563740750</v>
      </c>
      <c r="F678">
        <v>954200000</v>
      </c>
      <c r="G678">
        <v>435800000</v>
      </c>
      <c r="H678">
        <v>1966900000</v>
      </c>
      <c r="I678">
        <v>1.03164204869774</v>
      </c>
      <c r="J678">
        <v>5541213750</v>
      </c>
      <c r="K678">
        <v>-629600000</v>
      </c>
      <c r="L678">
        <v>7.9834313847756304</v>
      </c>
      <c r="M678">
        <v>-4.5925819402393104</v>
      </c>
      <c r="N678">
        <v>69.172621460254803</v>
      </c>
      <c r="O678">
        <v>-43.703748494338697</v>
      </c>
      <c r="P678">
        <v>15.16357</v>
      </c>
      <c r="Q678">
        <v>3.9146800000000002</v>
      </c>
      <c r="R678">
        <v>219093570</v>
      </c>
      <c r="S678">
        <v>19.6313</v>
      </c>
      <c r="T678">
        <v>2983200000</v>
      </c>
    </row>
    <row r="679" spans="1:20" x14ac:dyDescent="0.2">
      <c r="A679" t="s">
        <v>130</v>
      </c>
      <c r="B679" t="s">
        <v>55</v>
      </c>
      <c r="C679">
        <v>2021</v>
      </c>
      <c r="D679">
        <v>6950500000</v>
      </c>
      <c r="E679">
        <v>-621384000</v>
      </c>
      <c r="F679">
        <v>1227300000</v>
      </c>
      <c r="G679">
        <v>626000000</v>
      </c>
      <c r="H679">
        <v>1625200000</v>
      </c>
      <c r="I679">
        <v>-0.35419319279184802</v>
      </c>
      <c r="J679">
        <v>7650786420</v>
      </c>
      <c r="K679">
        <v>202300000</v>
      </c>
      <c r="L679">
        <v>2.14725086575559</v>
      </c>
      <c r="M679">
        <v>-22.700487571907299</v>
      </c>
      <c r="N679">
        <v>72.891626228611301</v>
      </c>
      <c r="O679">
        <v>66.366794701986706</v>
      </c>
      <c r="P679">
        <v>17.143339999999998</v>
      </c>
      <c r="Q679">
        <v>8.5780700000000003</v>
      </c>
      <c r="R679">
        <v>1064434530</v>
      </c>
      <c r="S679">
        <v>20.640599999999999</v>
      </c>
      <c r="T679">
        <v>2919100000</v>
      </c>
    </row>
    <row r="680" spans="1:20" x14ac:dyDescent="0.2">
      <c r="A680" t="s">
        <v>130</v>
      </c>
      <c r="B680" t="s">
        <v>55</v>
      </c>
      <c r="C680">
        <v>2022</v>
      </c>
      <c r="D680">
        <v>8134300000</v>
      </c>
      <c r="E680">
        <v>-724147330</v>
      </c>
      <c r="F680">
        <v>1245800000</v>
      </c>
      <c r="G680">
        <v>926600000</v>
      </c>
      <c r="H680">
        <v>3018500000</v>
      </c>
      <c r="I680">
        <v>-0.34068204419113202</v>
      </c>
      <c r="J680">
        <v>6419985060</v>
      </c>
      <c r="K680">
        <v>827800000</v>
      </c>
      <c r="L680">
        <v>-11.551956945871099</v>
      </c>
      <c r="M680">
        <v>-8.9831181061747998</v>
      </c>
      <c r="N680">
        <v>73.6164310635547</v>
      </c>
      <c r="O680">
        <v>79.496511048863994</v>
      </c>
      <c r="P680">
        <v>25.108339999999998</v>
      </c>
      <c r="Q680">
        <v>18.61458</v>
      </c>
      <c r="R680">
        <v>1730855110</v>
      </c>
      <c r="S680">
        <v>24.372900000000001</v>
      </c>
      <c r="T680">
        <v>4346200000</v>
      </c>
    </row>
    <row r="681" spans="1:20" x14ac:dyDescent="0.2">
      <c r="A681" t="s">
        <v>130</v>
      </c>
      <c r="B681" t="s">
        <v>55</v>
      </c>
      <c r="C681">
        <v>2023</v>
      </c>
      <c r="D681">
        <v>9401400000</v>
      </c>
      <c r="E681">
        <v>570257860</v>
      </c>
      <c r="F681">
        <v>1340700000</v>
      </c>
      <c r="G681">
        <v>894700000</v>
      </c>
      <c r="H681">
        <v>4863800000</v>
      </c>
      <c r="I681">
        <v>0.541808401830708</v>
      </c>
      <c r="J681">
        <v>5830660680</v>
      </c>
      <c r="K681">
        <v>1281600000</v>
      </c>
      <c r="L681">
        <v>2.1644168947287001E-2</v>
      </c>
      <c r="M681">
        <v>11.3257980578078</v>
      </c>
      <c r="N681">
        <v>76.159338186049396</v>
      </c>
      <c r="O681">
        <v>12.791259800427699</v>
      </c>
      <c r="P681">
        <v>23.12865</v>
      </c>
      <c r="Q681">
        <v>18.230540000000001</v>
      </c>
      <c r="R681">
        <v>428296180</v>
      </c>
      <c r="S681">
        <v>26.9834</v>
      </c>
      <c r="T681">
        <v>6371400000</v>
      </c>
    </row>
    <row r="682" spans="1:20" x14ac:dyDescent="0.2">
      <c r="A682" t="s">
        <v>130</v>
      </c>
      <c r="B682" t="s">
        <v>55</v>
      </c>
      <c r="C682">
        <v>2024</v>
      </c>
      <c r="D682">
        <v>8854400000</v>
      </c>
      <c r="E682">
        <v>645739180</v>
      </c>
      <c r="F682">
        <v>1484900000</v>
      </c>
      <c r="G682">
        <v>1013700000</v>
      </c>
      <c r="H682">
        <v>4416800000</v>
      </c>
      <c r="I682">
        <v>0.82929745755879403</v>
      </c>
      <c r="J682">
        <v>3690317976</v>
      </c>
      <c r="K682">
        <v>327300000</v>
      </c>
      <c r="L682">
        <v>9.06377113666173</v>
      </c>
      <c r="M682">
        <v>9.3652911820369695</v>
      </c>
      <c r="N682">
        <v>74.197442152407305</v>
      </c>
      <c r="O682">
        <v>1.9208536585365901</v>
      </c>
      <c r="P682">
        <v>12.234859999999999</v>
      </c>
      <c r="Q682">
        <v>5.6949199999999998</v>
      </c>
      <c r="R682">
        <v>307261240</v>
      </c>
      <c r="S682">
        <v>24.594200000000001</v>
      </c>
      <c r="T682">
        <v>6064800000</v>
      </c>
    </row>
    <row r="683" spans="1:20" x14ac:dyDescent="0.2">
      <c r="A683" t="s">
        <v>130</v>
      </c>
      <c r="B683" t="s">
        <v>55</v>
      </c>
      <c r="C683">
        <v>2025</v>
      </c>
      <c r="D683">
        <v>9409900000</v>
      </c>
      <c r="E683">
        <v>1083862670</v>
      </c>
      <c r="F683">
        <v>1925200000</v>
      </c>
      <c r="G683">
        <v>1046700000</v>
      </c>
      <c r="H683">
        <v>4669200000</v>
      </c>
      <c r="I683">
        <v>1.9752965501059601</v>
      </c>
      <c r="J683">
        <v>3423818190</v>
      </c>
      <c r="K683">
        <v>260700000</v>
      </c>
      <c r="L683">
        <v>0.50140413768874703</v>
      </c>
      <c r="M683">
        <v>9.4373752715039707</v>
      </c>
      <c r="N683">
        <v>71.7525071580923</v>
      </c>
      <c r="O683">
        <v>-15.0492065684469</v>
      </c>
      <c r="P683">
        <v>13.05184</v>
      </c>
      <c r="Q683">
        <v>4.9949300000000001</v>
      </c>
      <c r="R683">
        <v>60530070</v>
      </c>
      <c r="S683">
        <v>17.817900000000002</v>
      </c>
      <c r="T683">
        <v>6762200000</v>
      </c>
    </row>
    <row r="684" spans="1:20" x14ac:dyDescent="0.2">
      <c r="A684" t="s">
        <v>131</v>
      </c>
      <c r="B684" t="s">
        <v>56</v>
      </c>
      <c r="C684">
        <v>2004</v>
      </c>
      <c r="D684">
        <v>5833232454.6151304</v>
      </c>
      <c r="E684">
        <v>756878087.24054599</v>
      </c>
      <c r="F684">
        <v>1615917298.5103199</v>
      </c>
      <c r="G684">
        <v>239158211.093548</v>
      </c>
      <c r="H684">
        <v>1993723411.26599</v>
      </c>
      <c r="I684" t="s">
        <v>18</v>
      </c>
      <c r="J684">
        <v>5583112039.4937496</v>
      </c>
      <c r="K684">
        <v>414638091.50575</v>
      </c>
      <c r="L684" t="s">
        <v>18</v>
      </c>
      <c r="M684">
        <v>9.8165693374920693</v>
      </c>
      <c r="N684" t="s">
        <v>18</v>
      </c>
      <c r="O684" t="s">
        <v>18</v>
      </c>
      <c r="P684">
        <v>11.71368</v>
      </c>
      <c r="Q684">
        <v>5.4507099999999999</v>
      </c>
      <c r="R684">
        <v>1005948243.24886</v>
      </c>
      <c r="S684" t="s">
        <v>18</v>
      </c>
      <c r="T684">
        <v>4202396549.0252399</v>
      </c>
    </row>
    <row r="685" spans="1:20" x14ac:dyDescent="0.2">
      <c r="A685" t="s">
        <v>131</v>
      </c>
      <c r="B685" t="s">
        <v>56</v>
      </c>
      <c r="C685">
        <v>2005</v>
      </c>
      <c r="D685">
        <v>6674998292.83144</v>
      </c>
      <c r="E685">
        <v>620671243.26926696</v>
      </c>
      <c r="F685">
        <v>1417832872.8480501</v>
      </c>
      <c r="G685">
        <v>359806774.53639603</v>
      </c>
      <c r="H685">
        <v>2997518776.08636</v>
      </c>
      <c r="I685" t="s">
        <v>18</v>
      </c>
      <c r="J685">
        <v>8905543754.0929108</v>
      </c>
      <c r="K685">
        <v>853068370.63725698</v>
      </c>
      <c r="L685" t="s">
        <v>18</v>
      </c>
      <c r="M685">
        <v>10.932083506830001</v>
      </c>
      <c r="N685" t="s">
        <v>18</v>
      </c>
      <c r="O685" t="s">
        <v>18</v>
      </c>
      <c r="P685">
        <v>18.12059</v>
      </c>
      <c r="Q685">
        <v>12.61544</v>
      </c>
      <c r="R685">
        <v>1305707388.8967099</v>
      </c>
      <c r="S685" t="s">
        <v>18</v>
      </c>
      <c r="T685">
        <v>4692802904.6775503</v>
      </c>
    </row>
    <row r="686" spans="1:20" x14ac:dyDescent="0.2">
      <c r="A686" t="s">
        <v>131</v>
      </c>
      <c r="B686" t="s">
        <v>56</v>
      </c>
      <c r="C686">
        <v>2006</v>
      </c>
      <c r="D686">
        <v>8042871404.1304903</v>
      </c>
      <c r="E686">
        <v>-191938713.40325901</v>
      </c>
      <c r="F686">
        <v>1534664231.72964</v>
      </c>
      <c r="G686">
        <v>254387891.57474801</v>
      </c>
      <c r="H686">
        <v>3897993947.9464898</v>
      </c>
      <c r="I686" t="s">
        <v>18</v>
      </c>
      <c r="J686">
        <v>9334413532.8772106</v>
      </c>
      <c r="K686">
        <v>1001486403.68024</v>
      </c>
      <c r="L686" t="s">
        <v>18</v>
      </c>
      <c r="M686">
        <v>23.1363952596408</v>
      </c>
      <c r="N686" t="s">
        <v>18</v>
      </c>
      <c r="O686" t="s">
        <v>18</v>
      </c>
      <c r="P686">
        <v>17.30003</v>
      </c>
      <c r="Q686">
        <v>12.30734</v>
      </c>
      <c r="R686">
        <v>1359640612.12958</v>
      </c>
      <c r="S686" t="s">
        <v>18</v>
      </c>
      <c r="T686">
        <v>5711581004.4121103</v>
      </c>
    </row>
    <row r="687" spans="1:20" x14ac:dyDescent="0.2">
      <c r="A687" t="s">
        <v>131</v>
      </c>
      <c r="B687" t="s">
        <v>56</v>
      </c>
      <c r="C687">
        <v>2007</v>
      </c>
      <c r="D687">
        <v>8624114379.1454296</v>
      </c>
      <c r="E687">
        <v>966852670.12609696</v>
      </c>
      <c r="F687">
        <v>844085714.61607206</v>
      </c>
      <c r="G687">
        <v>1589556957.1661301</v>
      </c>
      <c r="H687">
        <v>4300108747.8845901</v>
      </c>
      <c r="I687" t="s">
        <v>18</v>
      </c>
      <c r="J687">
        <v>10811627373.674299</v>
      </c>
      <c r="K687">
        <v>1281163428.80669</v>
      </c>
      <c r="L687" t="s">
        <v>18</v>
      </c>
      <c r="M687">
        <v>16.130653893199799</v>
      </c>
      <c r="N687" t="s">
        <v>18</v>
      </c>
      <c r="O687" t="s">
        <v>18</v>
      </c>
      <c r="P687">
        <v>18.291899999999998</v>
      </c>
      <c r="Q687">
        <v>13.688219999999999</v>
      </c>
      <c r="R687">
        <v>1146500272.17978</v>
      </c>
      <c r="S687" t="s">
        <v>18</v>
      </c>
      <c r="T687">
        <v>5907050687.7069397</v>
      </c>
    </row>
    <row r="688" spans="1:20" x14ac:dyDescent="0.2">
      <c r="A688" t="s">
        <v>131</v>
      </c>
      <c r="B688" t="s">
        <v>56</v>
      </c>
      <c r="C688">
        <v>2008</v>
      </c>
      <c r="D688">
        <v>9648401814.7891006</v>
      </c>
      <c r="E688">
        <v>1398757564.5768001</v>
      </c>
      <c r="F688">
        <v>2523386432.0430498</v>
      </c>
      <c r="G688">
        <v>514478154.54492801</v>
      </c>
      <c r="H688">
        <v>3141750933.2870402</v>
      </c>
      <c r="I688" t="s">
        <v>18</v>
      </c>
      <c r="J688">
        <v>4264446737.1402402</v>
      </c>
      <c r="K688">
        <v>1045603566.0024</v>
      </c>
      <c r="L688" t="s">
        <v>18</v>
      </c>
      <c r="M688">
        <v>11.841347214848</v>
      </c>
      <c r="N688" t="s">
        <v>18</v>
      </c>
      <c r="O688" t="s">
        <v>18</v>
      </c>
      <c r="P688">
        <v>18.840219999999999</v>
      </c>
      <c r="Q688">
        <v>13.319710000000001</v>
      </c>
      <c r="R688">
        <v>1161358088.86729</v>
      </c>
      <c r="S688" t="s">
        <v>18</v>
      </c>
      <c r="T688">
        <v>6170477772.9560804</v>
      </c>
    </row>
    <row r="689" spans="1:20" x14ac:dyDescent="0.2">
      <c r="A689" t="s">
        <v>131</v>
      </c>
      <c r="B689" t="s">
        <v>56</v>
      </c>
      <c r="C689">
        <v>2009</v>
      </c>
      <c r="D689">
        <v>11080355944.3972</v>
      </c>
      <c r="E689">
        <v>3211512392.72824</v>
      </c>
      <c r="F689">
        <v>3462880746.1497598</v>
      </c>
      <c r="G689">
        <v>843727882.84652197</v>
      </c>
      <c r="H689">
        <v>4228559411.6303802</v>
      </c>
      <c r="I689" t="s">
        <v>18</v>
      </c>
      <c r="J689">
        <v>6219039786.1638803</v>
      </c>
      <c r="K689">
        <v>563724778.29991901</v>
      </c>
      <c r="L689" t="s">
        <v>18</v>
      </c>
      <c r="M689">
        <v>11.6175586377637</v>
      </c>
      <c r="N689">
        <v>62.556838487943203</v>
      </c>
      <c r="O689" t="s">
        <v>18</v>
      </c>
      <c r="P689">
        <v>9.8778199999999998</v>
      </c>
      <c r="Q689">
        <v>5.6044400000000003</v>
      </c>
      <c r="R689">
        <v>682466242.535869</v>
      </c>
      <c r="S689" t="s">
        <v>18</v>
      </c>
      <c r="T689">
        <v>8141350602.7615499</v>
      </c>
    </row>
    <row r="690" spans="1:20" x14ac:dyDescent="0.2">
      <c r="A690" t="s">
        <v>131</v>
      </c>
      <c r="B690" t="s">
        <v>56</v>
      </c>
      <c r="C690">
        <v>2010</v>
      </c>
      <c r="D690">
        <v>15488172173.015499</v>
      </c>
      <c r="E690">
        <v>3138540699.7207699</v>
      </c>
      <c r="F690">
        <v>4129373299.6382198</v>
      </c>
      <c r="G690">
        <v>658179317.93998694</v>
      </c>
      <c r="H690">
        <v>4828027087.2526102</v>
      </c>
      <c r="I690" t="s">
        <v>18</v>
      </c>
      <c r="J690">
        <v>7063206021.2089005</v>
      </c>
      <c r="K690">
        <v>323379983.44657803</v>
      </c>
      <c r="L690" t="s">
        <v>18</v>
      </c>
      <c r="M690">
        <v>9.9560747252697404</v>
      </c>
      <c r="N690">
        <v>55.473850361071797</v>
      </c>
      <c r="O690" t="s">
        <v>18</v>
      </c>
      <c r="P690">
        <v>13.054740000000001</v>
      </c>
      <c r="Q690">
        <v>6.9021999999999997</v>
      </c>
      <c r="R690">
        <v>1072650824.75209</v>
      </c>
      <c r="S690" t="s">
        <v>18</v>
      </c>
      <c r="T690">
        <v>10948037450.308599</v>
      </c>
    </row>
    <row r="691" spans="1:20" x14ac:dyDescent="0.2">
      <c r="A691" t="s">
        <v>131</v>
      </c>
      <c r="B691" t="s">
        <v>56</v>
      </c>
      <c r="C691">
        <v>2011</v>
      </c>
      <c r="D691">
        <v>16143398391.8255</v>
      </c>
      <c r="E691">
        <v>2540107685.35956</v>
      </c>
      <c r="F691">
        <v>4447807337.2809601</v>
      </c>
      <c r="G691">
        <v>1127032752.26266</v>
      </c>
      <c r="H691">
        <v>5164580100.61621</v>
      </c>
      <c r="I691" t="s">
        <v>18</v>
      </c>
      <c r="J691">
        <v>6134520326.3443203</v>
      </c>
      <c r="K691">
        <v>395816672.49542397</v>
      </c>
      <c r="L691" t="s">
        <v>18</v>
      </c>
      <c r="M691">
        <v>7.3133652300138499</v>
      </c>
      <c r="N691">
        <v>59.290998493560998</v>
      </c>
      <c r="O691" t="s">
        <v>18</v>
      </c>
      <c r="P691">
        <v>12.507849999999999</v>
      </c>
      <c r="Q691">
        <v>5.6763899999999996</v>
      </c>
      <c r="R691">
        <v>1169884688.8994</v>
      </c>
      <c r="S691" t="s">
        <v>18</v>
      </c>
      <c r="T691">
        <v>11553624212.642</v>
      </c>
    </row>
    <row r="692" spans="1:20" x14ac:dyDescent="0.2">
      <c r="A692" t="s">
        <v>131</v>
      </c>
      <c r="B692" t="s">
        <v>56</v>
      </c>
      <c r="C692">
        <v>2012</v>
      </c>
      <c r="D692">
        <v>15857029513.318001</v>
      </c>
      <c r="E692">
        <v>3008301081.0325599</v>
      </c>
      <c r="F692">
        <v>3754353810.4242001</v>
      </c>
      <c r="G692">
        <v>987957261.18053305</v>
      </c>
      <c r="H692">
        <v>5247074790.3650103</v>
      </c>
      <c r="I692" t="s">
        <v>18</v>
      </c>
      <c r="J692">
        <v>6834669564.2416296</v>
      </c>
      <c r="K692">
        <v>666095933.88723004</v>
      </c>
      <c r="L692" t="s">
        <v>18</v>
      </c>
      <c r="M692">
        <v>9.18400614628505</v>
      </c>
      <c r="N692">
        <v>55.772709967067797</v>
      </c>
      <c r="O692" t="s">
        <v>18</v>
      </c>
      <c r="P692">
        <v>11.132720000000001</v>
      </c>
      <c r="Q692">
        <v>4.6060999999999996</v>
      </c>
      <c r="R692">
        <v>1098860754.3160801</v>
      </c>
      <c r="S692" t="s">
        <v>18</v>
      </c>
      <c r="T692">
        <v>10878707117.3134</v>
      </c>
    </row>
    <row r="693" spans="1:20" x14ac:dyDescent="0.2">
      <c r="A693" t="s">
        <v>131</v>
      </c>
      <c r="B693" t="s">
        <v>56</v>
      </c>
      <c r="C693">
        <v>2013</v>
      </c>
      <c r="D693">
        <v>16404357701.466801</v>
      </c>
      <c r="E693">
        <v>2335190890.5009599</v>
      </c>
      <c r="F693">
        <v>3751616233.9584899</v>
      </c>
      <c r="G693">
        <v>1093303299.9409699</v>
      </c>
      <c r="H693">
        <v>5848026877.6168203</v>
      </c>
      <c r="I693" t="s">
        <v>18</v>
      </c>
      <c r="J693">
        <v>4862844573.1864796</v>
      </c>
      <c r="K693">
        <v>540637683.00734901</v>
      </c>
      <c r="L693" t="s">
        <v>18</v>
      </c>
      <c r="M693">
        <v>11.1340624891257</v>
      </c>
      <c r="N693">
        <v>70.890696881359602</v>
      </c>
      <c r="O693" t="s">
        <v>18</v>
      </c>
      <c r="P693">
        <v>9.4401899999999994</v>
      </c>
      <c r="Q693">
        <v>3.6699000000000002</v>
      </c>
      <c r="R693">
        <v>791678877.55065894</v>
      </c>
      <c r="S693" t="s">
        <v>18</v>
      </c>
      <c r="T693">
        <v>11483016317.1518</v>
      </c>
    </row>
    <row r="694" spans="1:20" x14ac:dyDescent="0.2">
      <c r="A694" t="s">
        <v>131</v>
      </c>
      <c r="B694" t="s">
        <v>56</v>
      </c>
      <c r="C694">
        <v>2014</v>
      </c>
      <c r="D694">
        <v>15695325490.021799</v>
      </c>
      <c r="E694">
        <v>1946580797.165</v>
      </c>
      <c r="F694">
        <v>3310244678.8905902</v>
      </c>
      <c r="G694">
        <v>1900524340.41765</v>
      </c>
      <c r="H694">
        <v>5747027006.6212902</v>
      </c>
      <c r="I694">
        <v>1.2878108904105201</v>
      </c>
      <c r="J694">
        <v>4027870033.7894602</v>
      </c>
      <c r="K694">
        <v>-63926188.034918003</v>
      </c>
      <c r="L694">
        <v>-3.9907788436646401</v>
      </c>
      <c r="M694">
        <v>-4.8582086179425801</v>
      </c>
      <c r="N694">
        <v>66.639300580029598</v>
      </c>
      <c r="O694">
        <v>39.417369787511099</v>
      </c>
      <c r="P694">
        <v>9.8648600000000002</v>
      </c>
      <c r="Q694">
        <v>9.5899999999999996E-3</v>
      </c>
      <c r="R694">
        <v>588953900.56207502</v>
      </c>
      <c r="S694">
        <v>0</v>
      </c>
      <c r="T694">
        <v>10652412483.678301</v>
      </c>
    </row>
    <row r="695" spans="1:20" x14ac:dyDescent="0.2">
      <c r="A695" t="s">
        <v>131</v>
      </c>
      <c r="B695" t="s">
        <v>56</v>
      </c>
      <c r="C695">
        <v>2015</v>
      </c>
      <c r="D695">
        <v>14683276522.155001</v>
      </c>
      <c r="E695">
        <v>2035912672.4456799</v>
      </c>
      <c r="F695">
        <v>3049868460.24336</v>
      </c>
      <c r="G695">
        <v>642278012.55069995</v>
      </c>
      <c r="H695">
        <v>5534654872.0058203</v>
      </c>
      <c r="I695">
        <v>1.06602771271858</v>
      </c>
      <c r="J695">
        <v>4548782495.6393404</v>
      </c>
      <c r="K695">
        <v>-165073253.62451699</v>
      </c>
      <c r="L695">
        <v>-2.6526101152969201</v>
      </c>
      <c r="M695">
        <v>3.67888941861756</v>
      </c>
      <c r="N695">
        <v>66.596085308319701</v>
      </c>
      <c r="O695">
        <v>-25.6164748757122</v>
      </c>
      <c r="P695">
        <v>8.3433100000000007</v>
      </c>
      <c r="Q695">
        <v>0.77573999999999999</v>
      </c>
      <c r="R695">
        <v>903928586.28247094</v>
      </c>
      <c r="S695">
        <v>3.0999999999999999E-3</v>
      </c>
      <c r="T695">
        <v>9995253084.4876404</v>
      </c>
    </row>
    <row r="696" spans="1:20" x14ac:dyDescent="0.2">
      <c r="A696" t="s">
        <v>131</v>
      </c>
      <c r="B696" t="s">
        <v>56</v>
      </c>
      <c r="C696">
        <v>2016</v>
      </c>
      <c r="D696">
        <v>12438283814.885099</v>
      </c>
      <c r="E696">
        <v>1969266160.2138801</v>
      </c>
      <c r="F696">
        <v>2123928234.59389</v>
      </c>
      <c r="G696">
        <v>418872916.91394699</v>
      </c>
      <c r="H696">
        <v>4613959621.1096497</v>
      </c>
      <c r="I696">
        <v>1.06164217487257</v>
      </c>
      <c r="J696">
        <v>6077060201.2598801</v>
      </c>
      <c r="K696">
        <v>-1064558625.61552</v>
      </c>
      <c r="L696">
        <v>18.983105506945702</v>
      </c>
      <c r="M696">
        <v>3.91224394973375</v>
      </c>
      <c r="N696">
        <v>74.382447661275904</v>
      </c>
      <c r="O696">
        <v>-13.158146896508701</v>
      </c>
      <c r="P696">
        <v>27.378720000000001</v>
      </c>
      <c r="Q696">
        <v>18.95036</v>
      </c>
      <c r="R696">
        <v>903891636.93980503</v>
      </c>
      <c r="S696">
        <v>4.7999999999999996E-3</v>
      </c>
      <c r="T696">
        <v>7895489824.8223</v>
      </c>
    </row>
    <row r="697" spans="1:20" x14ac:dyDescent="0.2">
      <c r="A697" t="s">
        <v>131</v>
      </c>
      <c r="B697" t="s">
        <v>56</v>
      </c>
      <c r="C697">
        <v>2017</v>
      </c>
      <c r="D697">
        <v>13299902021.124399</v>
      </c>
      <c r="E697">
        <v>1216265139.6493001</v>
      </c>
      <c r="F697">
        <v>2843209719.93186</v>
      </c>
      <c r="G697">
        <v>703038887.90460002</v>
      </c>
      <c r="H697">
        <v>4869836115.8432703</v>
      </c>
      <c r="I697">
        <v>0.55512360763789403</v>
      </c>
      <c r="J697">
        <v>7785463979.9092102</v>
      </c>
      <c r="K697">
        <v>809255644.346861</v>
      </c>
      <c r="L697">
        <v>7.6623093098455302</v>
      </c>
      <c r="M697">
        <v>5.1891106261523001</v>
      </c>
      <c r="N697">
        <v>65.235387826796298</v>
      </c>
      <c r="O697">
        <v>0.28094029629067302</v>
      </c>
      <c r="P697">
        <v>18.09648</v>
      </c>
      <c r="Q697">
        <v>10.16573</v>
      </c>
      <c r="R697">
        <v>1281311916.15025</v>
      </c>
      <c r="S697">
        <v>0.51749999999999996</v>
      </c>
      <c r="T697">
        <v>8716275017.3764896</v>
      </c>
    </row>
    <row r="698" spans="1:20" x14ac:dyDescent="0.2">
      <c r="A698" t="s">
        <v>131</v>
      </c>
      <c r="B698" t="s">
        <v>56</v>
      </c>
      <c r="C698">
        <v>2018</v>
      </c>
      <c r="D698">
        <v>13628447832.637899</v>
      </c>
      <c r="E698">
        <v>872036825.21537697</v>
      </c>
      <c r="F698">
        <v>2136075706.3050499</v>
      </c>
      <c r="G698">
        <v>650685357.78859496</v>
      </c>
      <c r="H698">
        <v>5637775539.9860897</v>
      </c>
      <c r="I698">
        <v>0.376674631214447</v>
      </c>
      <c r="J698">
        <v>8018411208.3332005</v>
      </c>
      <c r="K698">
        <v>1024164690.83096</v>
      </c>
      <c r="L698">
        <v>0.57338396131190605</v>
      </c>
      <c r="M698">
        <v>1.2770701588383599</v>
      </c>
      <c r="N698">
        <v>63.231006684837098</v>
      </c>
      <c r="O698">
        <v>9.5880485802165403</v>
      </c>
      <c r="P698">
        <v>17.641369999999998</v>
      </c>
      <c r="Q698">
        <v>9.9347300000000001</v>
      </c>
      <c r="R698">
        <v>1122418923.0439</v>
      </c>
      <c r="S698">
        <v>1.66E-2</v>
      </c>
      <c r="T698">
        <v>8787738587.3898907</v>
      </c>
    </row>
    <row r="699" spans="1:20" x14ac:dyDescent="0.2">
      <c r="A699" t="s">
        <v>131</v>
      </c>
      <c r="B699" t="s">
        <v>56</v>
      </c>
      <c r="C699">
        <v>2019</v>
      </c>
      <c r="D699">
        <v>14374324189.468399</v>
      </c>
      <c r="E699">
        <v>1294044583.23579</v>
      </c>
      <c r="F699">
        <v>2182764272.40553</v>
      </c>
      <c r="G699">
        <v>1195405966.8966501</v>
      </c>
      <c r="H699">
        <v>6242614303.7929401</v>
      </c>
      <c r="I699">
        <v>0.59765007846179996</v>
      </c>
      <c r="J699">
        <v>7188506096.8466501</v>
      </c>
      <c r="K699">
        <v>960057488.97471297</v>
      </c>
      <c r="L699">
        <v>-2.0495412451520999E-2</v>
      </c>
      <c r="M699">
        <v>8.5516178121982005</v>
      </c>
      <c r="N699">
        <v>65.526670463865798</v>
      </c>
      <c r="O699">
        <v>39.978387810036502</v>
      </c>
      <c r="P699">
        <v>14.954359999999999</v>
      </c>
      <c r="Q699">
        <v>7.9681800000000003</v>
      </c>
      <c r="R699">
        <v>1005769500.22089</v>
      </c>
      <c r="S699">
        <v>2.1493000000000002</v>
      </c>
      <c r="T699">
        <v>9408765816.4658794</v>
      </c>
    </row>
    <row r="700" spans="1:20" x14ac:dyDescent="0.2">
      <c r="A700" t="s">
        <v>131</v>
      </c>
      <c r="B700" t="s">
        <v>56</v>
      </c>
      <c r="C700">
        <v>2020</v>
      </c>
      <c r="D700">
        <v>15513903091.118601</v>
      </c>
      <c r="E700">
        <v>2983197543.2171001</v>
      </c>
      <c r="F700">
        <v>2747847685.0665898</v>
      </c>
      <c r="G700">
        <v>985760911.11788797</v>
      </c>
      <c r="H700">
        <v>6540119858.9678402</v>
      </c>
      <c r="I700">
        <v>1.9283578946472</v>
      </c>
      <c r="J700">
        <v>4630126634.0194998</v>
      </c>
      <c r="K700">
        <v>702862986.46427906</v>
      </c>
      <c r="L700">
        <v>16.025563349969399</v>
      </c>
      <c r="M700">
        <v>10.8161589351083</v>
      </c>
      <c r="N700">
        <v>70.089361759738793</v>
      </c>
      <c r="O700">
        <v>0.71391067084021198</v>
      </c>
      <c r="P700">
        <v>12.853199999999999</v>
      </c>
      <c r="Q700">
        <v>6.2074100000000003</v>
      </c>
      <c r="R700">
        <v>419562017.62547803</v>
      </c>
      <c r="S700">
        <v>2.4735</v>
      </c>
      <c r="T700">
        <v>10194760695.876101</v>
      </c>
    </row>
    <row r="701" spans="1:20" x14ac:dyDescent="0.2">
      <c r="A701" t="s">
        <v>131</v>
      </c>
      <c r="B701" t="s">
        <v>56</v>
      </c>
      <c r="C701">
        <v>2021</v>
      </c>
      <c r="D701">
        <v>15257488353.944099</v>
      </c>
      <c r="E701">
        <v>1921213434.39887</v>
      </c>
      <c r="F701">
        <v>3152996645.21346</v>
      </c>
      <c r="G701">
        <v>534914201.57024002</v>
      </c>
      <c r="H701">
        <v>6154629652.5929203</v>
      </c>
      <c r="I701">
        <v>0.65375793162735096</v>
      </c>
      <c r="J701">
        <v>5528757699.54457</v>
      </c>
      <c r="K701">
        <v>-154304418.77680999</v>
      </c>
      <c r="L701">
        <v>7.3761287243642197</v>
      </c>
      <c r="M701">
        <v>3.62681001735938</v>
      </c>
      <c r="N701">
        <v>67.791041869111197</v>
      </c>
      <c r="O701">
        <v>16.8670072719516</v>
      </c>
      <c r="P701">
        <v>12.77694</v>
      </c>
      <c r="Q701">
        <v>1.4876499999999999</v>
      </c>
      <c r="R701">
        <v>1388076995.0247099</v>
      </c>
      <c r="S701">
        <v>1.6374</v>
      </c>
      <c r="T701">
        <v>10055364489.6721</v>
      </c>
    </row>
    <row r="702" spans="1:20" x14ac:dyDescent="0.2">
      <c r="A702" t="s">
        <v>131</v>
      </c>
      <c r="B702" t="s">
        <v>56</v>
      </c>
      <c r="C702">
        <v>2022</v>
      </c>
      <c r="D702">
        <v>17632682767.011799</v>
      </c>
      <c r="E702">
        <v>1560478879.9523799</v>
      </c>
      <c r="F702">
        <v>2852247667.8994098</v>
      </c>
      <c r="G702">
        <v>996142837.83283997</v>
      </c>
      <c r="H702">
        <v>7579240889.9778099</v>
      </c>
      <c r="I702">
        <v>0.37786979013952099</v>
      </c>
      <c r="J702">
        <v>5645851588.3426199</v>
      </c>
      <c r="K702">
        <v>1417729591.6663101</v>
      </c>
      <c r="L702">
        <v>-9.3725646859566396</v>
      </c>
      <c r="M702">
        <v>11.546190849892101</v>
      </c>
      <c r="N702">
        <v>64.052785775951904</v>
      </c>
      <c r="O702">
        <v>11.736135465913801</v>
      </c>
      <c r="P702">
        <v>18.202639999999999</v>
      </c>
      <c r="Q702">
        <v>10.69767</v>
      </c>
      <c r="R702">
        <v>2964024970.00319</v>
      </c>
      <c r="S702">
        <v>1.4071</v>
      </c>
      <c r="T702">
        <v>11279432759.2456</v>
      </c>
    </row>
    <row r="703" spans="1:20" x14ac:dyDescent="0.2">
      <c r="A703" t="s">
        <v>131</v>
      </c>
      <c r="B703" t="s">
        <v>56</v>
      </c>
      <c r="C703">
        <v>2023</v>
      </c>
      <c r="D703">
        <v>19950206188.970501</v>
      </c>
      <c r="E703">
        <v>1132281572.9509001</v>
      </c>
      <c r="F703">
        <v>2802095786.4837298</v>
      </c>
      <c r="G703">
        <v>1490422835.0929799</v>
      </c>
      <c r="H703">
        <v>9153511900.9593201</v>
      </c>
      <c r="I703">
        <v>0.38406828349990701</v>
      </c>
      <c r="J703">
        <v>6019238302.4979401</v>
      </c>
      <c r="K703">
        <v>1768051923.49598</v>
      </c>
      <c r="L703">
        <v>1.9167766544236799</v>
      </c>
      <c r="M703">
        <v>16.620308489036798</v>
      </c>
      <c r="N703">
        <v>65.310724352201902</v>
      </c>
      <c r="O703">
        <v>-10.6611602010454</v>
      </c>
      <c r="P703">
        <v>17.397880000000001</v>
      </c>
      <c r="Q703">
        <v>12.65128</v>
      </c>
      <c r="R703">
        <v>1779864468.51828</v>
      </c>
      <c r="S703">
        <v>1.1406000000000001</v>
      </c>
      <c r="T703">
        <v>12904004407.5245</v>
      </c>
    </row>
    <row r="704" spans="1:20" x14ac:dyDescent="0.2">
      <c r="A704" t="s">
        <v>131</v>
      </c>
      <c r="B704" t="s">
        <v>56</v>
      </c>
      <c r="C704">
        <v>2024</v>
      </c>
      <c r="D704">
        <v>20128709681.489201</v>
      </c>
      <c r="E704">
        <v>1798848176.87465</v>
      </c>
      <c r="F704">
        <v>2870658095.16394</v>
      </c>
      <c r="G704">
        <v>1079132707.5871601</v>
      </c>
      <c r="H704">
        <v>10082814786.4867</v>
      </c>
      <c r="I704">
        <v>0.65467908306338596</v>
      </c>
      <c r="J704">
        <v>5320656100.6317701</v>
      </c>
      <c r="K704">
        <v>1490222195.0257499</v>
      </c>
      <c r="L704">
        <v>-0.97147354240015604</v>
      </c>
      <c r="M704">
        <v>5.7507816412730097</v>
      </c>
      <c r="N704">
        <v>62.8248333038268</v>
      </c>
      <c r="O704">
        <v>11.263765306120501</v>
      </c>
      <c r="P704">
        <v>12.366239999999999</v>
      </c>
      <c r="Q704">
        <v>7.9119200000000003</v>
      </c>
      <c r="R704">
        <v>1643902557.08448</v>
      </c>
      <c r="S704">
        <v>2.9999999999999997E-4</v>
      </c>
      <c r="T704">
        <v>13895025491.1036</v>
      </c>
    </row>
    <row r="705" spans="1:20" x14ac:dyDescent="0.2">
      <c r="A705" t="s">
        <v>131</v>
      </c>
      <c r="B705" t="s">
        <v>56</v>
      </c>
      <c r="C705">
        <v>2025</v>
      </c>
      <c r="D705">
        <v>20599062705.171799</v>
      </c>
      <c r="E705">
        <v>1793901378.03971</v>
      </c>
      <c r="F705">
        <v>3045870299.7357502</v>
      </c>
      <c r="G705">
        <v>1054042780.92362</v>
      </c>
      <c r="H705">
        <v>10380698796.7787</v>
      </c>
      <c r="I705">
        <v>0.494134263483062</v>
      </c>
      <c r="J705">
        <v>6413189573.2045603</v>
      </c>
      <c r="K705">
        <v>1004762270.43488</v>
      </c>
      <c r="L705">
        <v>-2.3739127497456902</v>
      </c>
      <c r="M705">
        <v>8.8277552903681999E-2</v>
      </c>
      <c r="N705">
        <v>61.636017211539901</v>
      </c>
      <c r="O705">
        <v>-10.2460023091931</v>
      </c>
      <c r="P705">
        <v>11.389570000000001</v>
      </c>
      <c r="Q705">
        <v>6.2213200000000004</v>
      </c>
      <c r="R705">
        <v>1474911050.941</v>
      </c>
      <c r="S705">
        <v>2.9999999999999997E-4</v>
      </c>
      <c r="T705">
        <v>14436654737.133499</v>
      </c>
    </row>
    <row r="706" spans="1:20" x14ac:dyDescent="0.2">
      <c r="A706" t="s">
        <v>132</v>
      </c>
      <c r="B706" t="s">
        <v>57</v>
      </c>
      <c r="C706">
        <v>2004</v>
      </c>
      <c r="D706">
        <v>79962999999.999603</v>
      </c>
      <c r="E706">
        <v>7820997957.3528996</v>
      </c>
      <c r="F706">
        <v>13618000000</v>
      </c>
      <c r="G706">
        <v>4836000000</v>
      </c>
      <c r="H706">
        <v>30406000000</v>
      </c>
      <c r="I706" t="s">
        <v>18</v>
      </c>
      <c r="J706">
        <v>104836027595.76401</v>
      </c>
      <c r="K706">
        <v>6130424602.19559</v>
      </c>
      <c r="L706" t="s">
        <v>18</v>
      </c>
      <c r="M706">
        <v>19.896815187420501</v>
      </c>
      <c r="N706">
        <v>42.734963951661399</v>
      </c>
      <c r="O706" t="s">
        <v>18</v>
      </c>
      <c r="P706">
        <v>17.271529999999998</v>
      </c>
      <c r="Q706">
        <v>12.202349999999999</v>
      </c>
      <c r="R706">
        <v>15487920956.9</v>
      </c>
      <c r="S706" t="s">
        <v>18</v>
      </c>
      <c r="T706">
        <v>45084000000.000099</v>
      </c>
    </row>
    <row r="707" spans="1:20" x14ac:dyDescent="0.2">
      <c r="A707" t="s">
        <v>132</v>
      </c>
      <c r="B707" t="s">
        <v>57</v>
      </c>
      <c r="C707">
        <v>2005</v>
      </c>
      <c r="D707">
        <v>86767000000.000198</v>
      </c>
      <c r="E707">
        <v>8945248622.1219006</v>
      </c>
      <c r="F707">
        <v>14903000000</v>
      </c>
      <c r="G707">
        <v>3860000000</v>
      </c>
      <c r="H707">
        <v>31608000000</v>
      </c>
      <c r="I707" t="s">
        <v>18</v>
      </c>
      <c r="J707">
        <v>133654637384.978</v>
      </c>
      <c r="K707">
        <v>10689376900.421101</v>
      </c>
      <c r="L707" t="s">
        <v>18</v>
      </c>
      <c r="M707">
        <v>18.489512146089901</v>
      </c>
      <c r="N707">
        <v>54.235994191747899</v>
      </c>
      <c r="O707" t="s">
        <v>18</v>
      </c>
      <c r="P707">
        <v>24.870709999999999</v>
      </c>
      <c r="Q707">
        <v>17.861000000000001</v>
      </c>
      <c r="R707">
        <v>23765757860.9594</v>
      </c>
      <c r="S707" t="s">
        <v>18</v>
      </c>
      <c r="T707">
        <v>47321000000</v>
      </c>
    </row>
    <row r="708" spans="1:20" x14ac:dyDescent="0.2">
      <c r="A708" t="s">
        <v>132</v>
      </c>
      <c r="B708" t="s">
        <v>57</v>
      </c>
      <c r="C708">
        <v>2006</v>
      </c>
      <c r="D708">
        <v>106144000000</v>
      </c>
      <c r="E708">
        <v>13628369864.781</v>
      </c>
      <c r="F708">
        <v>17236000000</v>
      </c>
      <c r="G708">
        <v>4318000000</v>
      </c>
      <c r="H708">
        <v>40645000000</v>
      </c>
      <c r="I708" t="s">
        <v>18</v>
      </c>
      <c r="J708">
        <v>127670646987</v>
      </c>
      <c r="K708">
        <v>11936597280.83</v>
      </c>
      <c r="L708" t="s">
        <v>18</v>
      </c>
      <c r="M708">
        <v>11.119967023308901</v>
      </c>
      <c r="N708">
        <v>65.649238767270205</v>
      </c>
      <c r="O708" t="s">
        <v>18</v>
      </c>
      <c r="P708">
        <v>25.15185</v>
      </c>
      <c r="Q708">
        <v>20.323429999999998</v>
      </c>
      <c r="R708">
        <v>25769550424.033001</v>
      </c>
      <c r="S708" t="s">
        <v>18</v>
      </c>
      <c r="T708">
        <v>58719000000</v>
      </c>
    </row>
    <row r="709" spans="1:20" x14ac:dyDescent="0.2">
      <c r="A709" t="s">
        <v>132</v>
      </c>
      <c r="B709" t="s">
        <v>57</v>
      </c>
      <c r="C709">
        <v>2007</v>
      </c>
      <c r="D709">
        <v>105223000000</v>
      </c>
      <c r="E709">
        <v>14773234382.2924</v>
      </c>
      <c r="F709">
        <v>19546000000</v>
      </c>
      <c r="G709">
        <v>2493000000</v>
      </c>
      <c r="H709">
        <v>40321000000</v>
      </c>
      <c r="I709" t="s">
        <v>18</v>
      </c>
      <c r="J709">
        <v>132152297949.42</v>
      </c>
      <c r="K709">
        <v>12136011880.5054</v>
      </c>
      <c r="L709" t="s">
        <v>18</v>
      </c>
      <c r="M709">
        <v>11.5573920143748</v>
      </c>
      <c r="N709">
        <v>58.445894895991302</v>
      </c>
      <c r="O709" t="s">
        <v>18</v>
      </c>
      <c r="P709">
        <v>21.84205</v>
      </c>
      <c r="Q709">
        <v>17.655570000000001</v>
      </c>
      <c r="R709">
        <v>24087374697.6912</v>
      </c>
      <c r="S709" t="s">
        <v>18</v>
      </c>
      <c r="T709">
        <v>60694000000</v>
      </c>
    </row>
    <row r="710" spans="1:20" x14ac:dyDescent="0.2">
      <c r="A710" t="s">
        <v>132</v>
      </c>
      <c r="B710" t="s">
        <v>57</v>
      </c>
      <c r="C710">
        <v>2008</v>
      </c>
      <c r="D710">
        <v>113541000000</v>
      </c>
      <c r="E710">
        <v>11045218154.094</v>
      </c>
      <c r="F710">
        <v>19029000000</v>
      </c>
      <c r="G710">
        <v>5988000000</v>
      </c>
      <c r="H710">
        <v>44858000000</v>
      </c>
      <c r="I710" t="s">
        <v>18</v>
      </c>
      <c r="J710">
        <v>90525670863.960007</v>
      </c>
      <c r="K710">
        <v>11757600527.750099</v>
      </c>
      <c r="L710" t="s">
        <v>18</v>
      </c>
      <c r="M710">
        <v>15.7465731633609</v>
      </c>
      <c r="N710">
        <v>67.179680428405007</v>
      </c>
      <c r="O710" t="s">
        <v>18</v>
      </c>
      <c r="P710">
        <v>22.520900000000001</v>
      </c>
      <c r="Q710">
        <v>18.17371</v>
      </c>
      <c r="R710">
        <v>29362259049.358398</v>
      </c>
      <c r="S710" t="s">
        <v>18</v>
      </c>
      <c r="T710">
        <v>64729000000</v>
      </c>
    </row>
    <row r="711" spans="1:20" x14ac:dyDescent="0.2">
      <c r="A711" t="s">
        <v>132</v>
      </c>
      <c r="B711" t="s">
        <v>57</v>
      </c>
      <c r="C711">
        <v>2009</v>
      </c>
      <c r="D711">
        <v>118310000000</v>
      </c>
      <c r="E711">
        <v>12674579148.0119</v>
      </c>
      <c r="F711">
        <v>23913000000</v>
      </c>
      <c r="G711">
        <v>12321000000</v>
      </c>
      <c r="H711">
        <v>48992000000</v>
      </c>
      <c r="I711" t="s">
        <v>18</v>
      </c>
      <c r="J711">
        <v>99090680926.5</v>
      </c>
      <c r="K711">
        <v>9231925489.1840401</v>
      </c>
      <c r="L711" t="s">
        <v>18</v>
      </c>
      <c r="M711">
        <v>18.0280263059528</v>
      </c>
      <c r="N711">
        <v>67.941781368073705</v>
      </c>
      <c r="O711" t="s">
        <v>18</v>
      </c>
      <c r="P711">
        <v>18.365130000000001</v>
      </c>
      <c r="Q711">
        <v>14.49813</v>
      </c>
      <c r="R711">
        <v>14610350958.9228</v>
      </c>
      <c r="S711">
        <v>0</v>
      </c>
      <c r="T711">
        <v>73862999999.999802</v>
      </c>
    </row>
    <row r="712" spans="1:20" x14ac:dyDescent="0.2">
      <c r="A712" t="s">
        <v>132</v>
      </c>
      <c r="B712" t="s">
        <v>57</v>
      </c>
      <c r="C712">
        <v>2010</v>
      </c>
      <c r="D712">
        <v>127753000000</v>
      </c>
      <c r="E712">
        <v>14712145337.163601</v>
      </c>
      <c r="F712">
        <v>26431000000</v>
      </c>
      <c r="G712">
        <v>11662000000</v>
      </c>
      <c r="H712">
        <v>52552000000</v>
      </c>
      <c r="I712" t="s">
        <v>18</v>
      </c>
      <c r="J712">
        <v>88347668933.699997</v>
      </c>
      <c r="K712">
        <v>8629389609.1408901</v>
      </c>
      <c r="L712" t="s">
        <v>18</v>
      </c>
      <c r="M712">
        <v>11.2694790881849</v>
      </c>
      <c r="N712">
        <v>68.303475201514004</v>
      </c>
      <c r="O712" t="s">
        <v>18</v>
      </c>
      <c r="P712">
        <v>19.419899999999998</v>
      </c>
      <c r="Q712">
        <v>13.080349999999999</v>
      </c>
      <c r="R712">
        <v>20499022664.399399</v>
      </c>
      <c r="S712">
        <v>0</v>
      </c>
      <c r="T712">
        <v>79970000000.000198</v>
      </c>
    </row>
    <row r="713" spans="1:20" x14ac:dyDescent="0.2">
      <c r="A713" t="s">
        <v>132</v>
      </c>
      <c r="B713" t="s">
        <v>57</v>
      </c>
      <c r="C713">
        <v>2011</v>
      </c>
      <c r="D713">
        <v>143718000000</v>
      </c>
      <c r="E713">
        <v>14203186399.393801</v>
      </c>
      <c r="F713">
        <v>30436000000</v>
      </c>
      <c r="G713">
        <v>14489000000</v>
      </c>
      <c r="H713">
        <v>60414000000</v>
      </c>
      <c r="I713" t="s">
        <v>18</v>
      </c>
      <c r="J713">
        <v>90344014474.945007</v>
      </c>
      <c r="K713">
        <v>10811446881.192699</v>
      </c>
      <c r="L713" t="s">
        <v>18</v>
      </c>
      <c r="M713">
        <v>10.7144238791085</v>
      </c>
      <c r="N713">
        <v>62.474171367400601</v>
      </c>
      <c r="O713" t="s">
        <v>18</v>
      </c>
      <c r="P713">
        <v>20.57077</v>
      </c>
      <c r="Q713">
        <v>14.0807</v>
      </c>
      <c r="R713">
        <v>24376715215.832199</v>
      </c>
      <c r="S713">
        <v>0</v>
      </c>
      <c r="T713">
        <v>91707000000.000305</v>
      </c>
    </row>
    <row r="714" spans="1:20" x14ac:dyDescent="0.2">
      <c r="A714" t="s">
        <v>132</v>
      </c>
      <c r="B714" t="s">
        <v>57</v>
      </c>
      <c r="C714">
        <v>2012</v>
      </c>
      <c r="D714">
        <v>163705000000</v>
      </c>
      <c r="E714">
        <v>17594719562.958599</v>
      </c>
      <c r="F714">
        <v>32232000000</v>
      </c>
      <c r="G714">
        <v>14025000000</v>
      </c>
      <c r="H714">
        <v>66945000000</v>
      </c>
      <c r="I714" t="s">
        <v>18</v>
      </c>
      <c r="J714">
        <v>91028742989.850006</v>
      </c>
      <c r="K714">
        <v>12611014957.5417</v>
      </c>
      <c r="L714" t="s">
        <v>18</v>
      </c>
      <c r="M714">
        <v>14.947816161732</v>
      </c>
      <c r="N714">
        <v>86.290855650320495</v>
      </c>
      <c r="O714" t="s">
        <v>18</v>
      </c>
      <c r="P714">
        <v>18.948060000000002</v>
      </c>
      <c r="Q714">
        <v>13.76764</v>
      </c>
      <c r="R714">
        <v>25020850044.4944</v>
      </c>
      <c r="S714">
        <v>0</v>
      </c>
      <c r="T714">
        <v>100529000000</v>
      </c>
    </row>
    <row r="715" spans="1:20" x14ac:dyDescent="0.2">
      <c r="A715" t="s">
        <v>132</v>
      </c>
      <c r="B715" t="s">
        <v>57</v>
      </c>
      <c r="C715">
        <v>2013</v>
      </c>
      <c r="D715">
        <v>171203517120</v>
      </c>
      <c r="E715">
        <v>18622545593.471001</v>
      </c>
      <c r="F715">
        <v>33293151840</v>
      </c>
      <c r="G715">
        <v>15468389280</v>
      </c>
      <c r="H715">
        <v>71220984480</v>
      </c>
      <c r="I715" t="s">
        <v>18</v>
      </c>
      <c r="J715">
        <v>105990513423.795</v>
      </c>
      <c r="K715">
        <v>10766095916.3934</v>
      </c>
      <c r="L715" t="s">
        <v>18</v>
      </c>
      <c r="M715">
        <v>12.1124812673847</v>
      </c>
      <c r="N715">
        <v>83.931900436162195</v>
      </c>
      <c r="O715" t="s">
        <v>18</v>
      </c>
      <c r="P715">
        <v>19.279209999999999</v>
      </c>
      <c r="Q715">
        <v>13.529820000000001</v>
      </c>
      <c r="R715">
        <v>21693406645.294601</v>
      </c>
      <c r="S715">
        <v>0</v>
      </c>
      <c r="T715">
        <v>105794263200</v>
      </c>
    </row>
    <row r="716" spans="1:20" x14ac:dyDescent="0.2">
      <c r="A716" t="s">
        <v>132</v>
      </c>
      <c r="B716" t="s">
        <v>57</v>
      </c>
      <c r="C716">
        <v>2014</v>
      </c>
      <c r="D716">
        <v>174044301420</v>
      </c>
      <c r="E716">
        <v>22857590951.649601</v>
      </c>
      <c r="F716">
        <v>33060872680</v>
      </c>
      <c r="G716">
        <v>14696308000</v>
      </c>
      <c r="H716">
        <v>72929337140</v>
      </c>
      <c r="I716">
        <v>0.81771768528643396</v>
      </c>
      <c r="J716">
        <v>106157417246.72501</v>
      </c>
      <c r="K716">
        <v>8676820830.6027393</v>
      </c>
      <c r="L716">
        <v>-8.6617868067663792</v>
      </c>
      <c r="M716">
        <v>11.379752897108199</v>
      </c>
      <c r="N716">
        <v>82.859308249924993</v>
      </c>
      <c r="O716">
        <v>-6.3133483932245396</v>
      </c>
      <c r="P716">
        <v>17.423860000000001</v>
      </c>
      <c r="Q716">
        <v>11.56429</v>
      </c>
      <c r="R716">
        <v>18802441259.1287</v>
      </c>
      <c r="S716">
        <v>0</v>
      </c>
      <c r="T716">
        <v>108273230340</v>
      </c>
    </row>
    <row r="717" spans="1:20" x14ac:dyDescent="0.2">
      <c r="A717" t="s">
        <v>132</v>
      </c>
      <c r="B717" t="s">
        <v>57</v>
      </c>
      <c r="C717">
        <v>2015</v>
      </c>
      <c r="D717">
        <v>189962516700</v>
      </c>
      <c r="E717">
        <v>26653037854.005798</v>
      </c>
      <c r="F717">
        <v>45861715350</v>
      </c>
      <c r="G717">
        <v>20815873650</v>
      </c>
      <c r="H717">
        <v>74671294500</v>
      </c>
      <c r="I717">
        <v>1.09412242223509</v>
      </c>
      <c r="J717">
        <v>114101545480.83</v>
      </c>
      <c r="K717">
        <v>3204836623.2876701</v>
      </c>
      <c r="L717">
        <v>3.2871712717309398</v>
      </c>
      <c r="M717">
        <v>9.81685574258446</v>
      </c>
      <c r="N717">
        <v>86.152543477326802</v>
      </c>
      <c r="O717">
        <v>-2.6491754791811299</v>
      </c>
      <c r="P717">
        <v>23.132470000000001</v>
      </c>
      <c r="Q717">
        <v>13.29415</v>
      </c>
      <c r="R717">
        <v>11945733052.128</v>
      </c>
      <c r="S717">
        <v>0</v>
      </c>
      <c r="T717">
        <v>123179116500</v>
      </c>
    </row>
    <row r="718" spans="1:20" x14ac:dyDescent="0.2">
      <c r="A718" t="s">
        <v>132</v>
      </c>
      <c r="B718" t="s">
        <v>57</v>
      </c>
      <c r="C718">
        <v>2016</v>
      </c>
      <c r="D718">
        <v>206707112040</v>
      </c>
      <c r="E718">
        <v>30080606391.8694</v>
      </c>
      <c r="F718">
        <v>49779909410</v>
      </c>
      <c r="G718">
        <v>21426327890</v>
      </c>
      <c r="H718">
        <v>85169400140</v>
      </c>
      <c r="I718">
        <v>1.61024322984581</v>
      </c>
      <c r="J718">
        <v>113932372092.72</v>
      </c>
      <c r="K718">
        <v>4314185630.1369896</v>
      </c>
      <c r="L718">
        <v>29.505743577036899</v>
      </c>
      <c r="M718">
        <v>6.5520886133751697</v>
      </c>
      <c r="N718">
        <v>84.895354065068204</v>
      </c>
      <c r="O718">
        <v>-32.122843898427099</v>
      </c>
      <c r="P718">
        <v>16.742319999999999</v>
      </c>
      <c r="Q718">
        <v>8.1605899999999991</v>
      </c>
      <c r="R718">
        <v>7877060360.0733995</v>
      </c>
      <c r="S718">
        <v>0</v>
      </c>
      <c r="T718">
        <v>137633470700</v>
      </c>
    </row>
    <row r="719" spans="1:20" x14ac:dyDescent="0.2">
      <c r="A719" t="s">
        <v>132</v>
      </c>
      <c r="B719" t="s">
        <v>57</v>
      </c>
      <c r="C719">
        <v>2017</v>
      </c>
      <c r="D719">
        <v>219706273600</v>
      </c>
      <c r="E719">
        <v>21615319923.039001</v>
      </c>
      <c r="F719">
        <v>50733203200</v>
      </c>
      <c r="G719">
        <v>23396666400</v>
      </c>
      <c r="H719">
        <v>93864416000</v>
      </c>
      <c r="I719">
        <v>1.0134011645833101</v>
      </c>
      <c r="J719">
        <v>119735898897.66</v>
      </c>
      <c r="K719">
        <v>5610905303.4972696</v>
      </c>
      <c r="L719">
        <v>11.1918814068119</v>
      </c>
      <c r="M719">
        <v>-6.2176962777026104</v>
      </c>
      <c r="N719">
        <v>89.376129872904002</v>
      </c>
      <c r="O719">
        <v>-29.426589905513399</v>
      </c>
      <c r="P719">
        <v>15.631819999999999</v>
      </c>
      <c r="Q719">
        <v>6.1731499999999997</v>
      </c>
      <c r="R719">
        <v>10535251975.822001</v>
      </c>
      <c r="S719">
        <v>0.7</v>
      </c>
      <c r="T719">
        <v>147350392000</v>
      </c>
    </row>
    <row r="720" spans="1:20" x14ac:dyDescent="0.2">
      <c r="A720" t="s">
        <v>132</v>
      </c>
      <c r="B720" t="s">
        <v>57</v>
      </c>
      <c r="C720">
        <v>2018</v>
      </c>
      <c r="D720">
        <v>202259627910</v>
      </c>
      <c r="E720">
        <v>21855186018.077099</v>
      </c>
      <c r="F720">
        <v>42809207940</v>
      </c>
      <c r="G720">
        <v>27663347850</v>
      </c>
      <c r="H720">
        <v>92994197160</v>
      </c>
      <c r="I720">
        <v>0.73845978109996901</v>
      </c>
      <c r="J720">
        <v>131914421477.27499</v>
      </c>
      <c r="K720">
        <v>7359097778.1643801</v>
      </c>
      <c r="L720">
        <v>7.4792979136720703</v>
      </c>
      <c r="M720">
        <v>-11.6496792923855</v>
      </c>
      <c r="N720">
        <v>89.385271170128703</v>
      </c>
      <c r="O720">
        <v>8.2193540205115099</v>
      </c>
      <c r="P720">
        <v>13.25361</v>
      </c>
      <c r="Q720">
        <v>5.2555699999999996</v>
      </c>
      <c r="R720">
        <v>18709838252.964298</v>
      </c>
      <c r="S720">
        <v>0.9</v>
      </c>
      <c r="T720">
        <v>137871591510</v>
      </c>
    </row>
    <row r="721" spans="1:20" x14ac:dyDescent="0.2">
      <c r="A721" t="s">
        <v>132</v>
      </c>
      <c r="B721" t="s">
        <v>57</v>
      </c>
      <c r="C721">
        <v>2019</v>
      </c>
      <c r="D721">
        <v>223875923040</v>
      </c>
      <c r="E721">
        <v>27291170413.531502</v>
      </c>
      <c r="F721">
        <v>44951835600</v>
      </c>
      <c r="G721">
        <v>22726594800</v>
      </c>
      <c r="H721">
        <v>100828828800</v>
      </c>
      <c r="I721">
        <v>0.95237414621144101</v>
      </c>
      <c r="J721">
        <v>127042839979.2</v>
      </c>
      <c r="K721">
        <v>9792546936.9862995</v>
      </c>
      <c r="L721">
        <v>-1.5861848707294099</v>
      </c>
      <c r="M721">
        <v>-10.503506737200301</v>
      </c>
      <c r="N721">
        <v>85.180827607038097</v>
      </c>
      <c r="O721">
        <v>-16.407534716958502</v>
      </c>
      <c r="P721">
        <v>16.317229999999999</v>
      </c>
      <c r="Q721">
        <v>9.35928</v>
      </c>
      <c r="R721">
        <v>16736510318.255199</v>
      </c>
      <c r="S721">
        <v>1.4</v>
      </c>
      <c r="T721">
        <v>147937794480</v>
      </c>
    </row>
    <row r="722" spans="1:20" x14ac:dyDescent="0.2">
      <c r="A722" t="s">
        <v>132</v>
      </c>
      <c r="B722" t="s">
        <v>57</v>
      </c>
      <c r="C722">
        <v>2020</v>
      </c>
      <c r="D722">
        <v>243794645640</v>
      </c>
      <c r="E722">
        <v>32583233398.768002</v>
      </c>
      <c r="F722">
        <v>54324669880</v>
      </c>
      <c r="G722">
        <v>22815326560</v>
      </c>
      <c r="H722">
        <v>104172982680</v>
      </c>
      <c r="I722">
        <v>2.1103261951117198</v>
      </c>
      <c r="J722">
        <v>96387995828.25</v>
      </c>
      <c r="K722">
        <v>10220344990.6849</v>
      </c>
      <c r="L722">
        <v>14.8739070931657</v>
      </c>
      <c r="M722">
        <v>-14.8091792173354</v>
      </c>
      <c r="N722">
        <v>85.589078662267099</v>
      </c>
      <c r="O722">
        <v>-8.7307133147671898</v>
      </c>
      <c r="P722">
        <v>18.695139999999999</v>
      </c>
      <c r="Q722">
        <v>9.8803400000000003</v>
      </c>
      <c r="R722">
        <v>4523946519.0956001</v>
      </c>
      <c r="S722">
        <v>0.80230000000000001</v>
      </c>
      <c r="T722">
        <v>160751888180</v>
      </c>
    </row>
    <row r="723" spans="1:20" x14ac:dyDescent="0.2">
      <c r="A723" t="s">
        <v>132</v>
      </c>
      <c r="B723" t="s">
        <v>57</v>
      </c>
      <c r="C723">
        <v>2021</v>
      </c>
      <c r="D723">
        <v>217908881600</v>
      </c>
      <c r="E723">
        <v>30281838174.942001</v>
      </c>
      <c r="F723">
        <v>61972515600</v>
      </c>
      <c r="G723">
        <v>23850006400</v>
      </c>
      <c r="H723">
        <v>84911197600</v>
      </c>
      <c r="I723">
        <v>0.95106448384046904</v>
      </c>
      <c r="J723">
        <v>110726403911.61501</v>
      </c>
      <c r="K723">
        <v>-6436533641.3114796</v>
      </c>
      <c r="L723">
        <v>5.3156027304599203</v>
      </c>
      <c r="M723">
        <v>-15.5986627515043</v>
      </c>
      <c r="N723">
        <v>89.374300396133606</v>
      </c>
      <c r="O723">
        <v>17.351706251448</v>
      </c>
      <c r="P723">
        <v>16.320260000000001</v>
      </c>
      <c r="Q723">
        <v>4.0667</v>
      </c>
      <c r="R723">
        <v>20989314835.233002</v>
      </c>
      <c r="S723">
        <v>1.0226</v>
      </c>
      <c r="T723">
        <v>148834913600</v>
      </c>
    </row>
    <row r="724" spans="1:20" x14ac:dyDescent="0.2">
      <c r="A724" t="s">
        <v>132</v>
      </c>
      <c r="B724" t="s">
        <v>57</v>
      </c>
      <c r="C724">
        <v>2022</v>
      </c>
      <c r="D724">
        <v>258143264280</v>
      </c>
      <c r="E724">
        <v>14265786983.219101</v>
      </c>
      <c r="F724">
        <v>55461683340</v>
      </c>
      <c r="G724">
        <v>16049396700</v>
      </c>
      <c r="H724">
        <v>98289689760</v>
      </c>
      <c r="I724">
        <v>0.213609465572702</v>
      </c>
      <c r="J724">
        <v>155235911261.95001</v>
      </c>
      <c r="K724">
        <v>13844147366.5753</v>
      </c>
      <c r="L724">
        <v>-5.2025219376156704</v>
      </c>
      <c r="M724">
        <v>-7.3768295559883299</v>
      </c>
      <c r="N724">
        <v>82.681394460360707</v>
      </c>
      <c r="O724">
        <v>20.015059340418901</v>
      </c>
      <c r="P724">
        <v>21.991070000000001</v>
      </c>
      <c r="Q724">
        <v>14.63219</v>
      </c>
      <c r="R724">
        <v>50696201108.746902</v>
      </c>
      <c r="S724">
        <v>1.0386</v>
      </c>
      <c r="T724">
        <v>156621703680</v>
      </c>
    </row>
    <row r="725" spans="1:20" x14ac:dyDescent="0.2">
      <c r="A725" t="s">
        <v>132</v>
      </c>
      <c r="B725" t="s">
        <v>57</v>
      </c>
      <c r="C725">
        <v>2023</v>
      </c>
      <c r="D725">
        <v>283930521600</v>
      </c>
      <c r="E725">
        <v>17107699389.8536</v>
      </c>
      <c r="F725">
        <v>53279488000</v>
      </c>
      <c r="G725">
        <v>28661785600</v>
      </c>
      <c r="H725">
        <v>104394905600</v>
      </c>
      <c r="I725">
        <v>0.37922043334481997</v>
      </c>
      <c r="J725">
        <v>150428024430.60001</v>
      </c>
      <c r="K725">
        <v>20020133295.6712</v>
      </c>
      <c r="L725">
        <v>7.6937985516674603</v>
      </c>
      <c r="M725">
        <v>2.6494735152460702</v>
      </c>
      <c r="N725">
        <v>83.077469998167899</v>
      </c>
      <c r="O725">
        <v>8.4088479927593003</v>
      </c>
      <c r="P725">
        <v>28.197939999999999</v>
      </c>
      <c r="Q725">
        <v>22.932659999999998</v>
      </c>
      <c r="R725">
        <v>33954990237.308399</v>
      </c>
      <c r="S725">
        <v>1.1809000000000001</v>
      </c>
      <c r="T725">
        <v>160333696000</v>
      </c>
    </row>
    <row r="726" spans="1:20" x14ac:dyDescent="0.2">
      <c r="A726" t="s">
        <v>132</v>
      </c>
      <c r="B726" t="s">
        <v>57</v>
      </c>
      <c r="C726">
        <v>2024</v>
      </c>
      <c r="D726">
        <v>257027399020</v>
      </c>
      <c r="E726">
        <v>21957567082.075901</v>
      </c>
      <c r="F726">
        <v>43376443100</v>
      </c>
      <c r="G726">
        <v>23066445280</v>
      </c>
      <c r="H726">
        <v>105793395890</v>
      </c>
      <c r="I726">
        <v>0.57724551474224695</v>
      </c>
      <c r="J726">
        <v>131800450965.17</v>
      </c>
      <c r="K726">
        <v>19896015124.1096</v>
      </c>
      <c r="L726">
        <v>-1.1285943028227E-2</v>
      </c>
      <c r="M726">
        <v>0.74070207195024995</v>
      </c>
      <c r="N726">
        <v>84.066819484803403</v>
      </c>
      <c r="O726">
        <v>-0.65628119087193604</v>
      </c>
      <c r="P726">
        <v>21.05734</v>
      </c>
      <c r="Q726">
        <v>15.141249999999999</v>
      </c>
      <c r="R726">
        <v>26334144053.3605</v>
      </c>
      <c r="S726">
        <v>1.196</v>
      </c>
      <c r="T726">
        <v>151616389990</v>
      </c>
    </row>
    <row r="727" spans="1:20" x14ac:dyDescent="0.2">
      <c r="A727" t="s">
        <v>132</v>
      </c>
      <c r="B727" t="s">
        <v>57</v>
      </c>
      <c r="C727">
        <v>2025</v>
      </c>
      <c r="D727">
        <v>275751893300</v>
      </c>
      <c r="E727">
        <v>26327479300.5159</v>
      </c>
      <c r="F727">
        <v>49496579600</v>
      </c>
      <c r="G727">
        <v>23220236000</v>
      </c>
      <c r="H727">
        <v>113839042200</v>
      </c>
      <c r="I727">
        <v>0.77497292859773304</v>
      </c>
      <c r="J727">
        <v>125135466143.53</v>
      </c>
      <c r="K727">
        <v>14822693597.3771</v>
      </c>
      <c r="L727">
        <v>-1.4743321970990899</v>
      </c>
      <c r="M727">
        <v>4.7706705375441896</v>
      </c>
      <c r="N727">
        <v>83.627970018336498</v>
      </c>
      <c r="O727">
        <v>3.0555543645429202</v>
      </c>
      <c r="P727">
        <v>20.623180000000001</v>
      </c>
      <c r="Q727">
        <v>14.10051</v>
      </c>
      <c r="R727">
        <v>21298568712.079498</v>
      </c>
      <c r="S727">
        <v>1.6728000000000001</v>
      </c>
      <c r="T727">
        <v>165650884100</v>
      </c>
    </row>
    <row r="728" spans="1:20" x14ac:dyDescent="0.2">
      <c r="A728" t="s">
        <v>97</v>
      </c>
      <c r="B728" t="s">
        <v>59</v>
      </c>
      <c r="C728">
        <v>2004</v>
      </c>
      <c r="D728">
        <v>67535000000</v>
      </c>
      <c r="E728">
        <v>11993106290</v>
      </c>
      <c r="F728">
        <v>16342000000</v>
      </c>
      <c r="G728">
        <v>6000000</v>
      </c>
      <c r="H728">
        <v>29859000000</v>
      </c>
      <c r="I728" t="s">
        <v>18</v>
      </c>
      <c r="J728">
        <v>74241957479.039993</v>
      </c>
      <c r="K728">
        <v>5004000000</v>
      </c>
      <c r="L728" t="s">
        <v>18</v>
      </c>
      <c r="M728">
        <v>11.308127112984799</v>
      </c>
      <c r="N728">
        <v>58.057553060749903</v>
      </c>
      <c r="O728" t="s">
        <v>18</v>
      </c>
      <c r="P728">
        <v>18.75525</v>
      </c>
      <c r="Q728">
        <v>11.598179999999999</v>
      </c>
      <c r="R728">
        <v>11635316130</v>
      </c>
      <c r="S728" t="s">
        <v>18</v>
      </c>
      <c r="T728">
        <v>47823000000</v>
      </c>
    </row>
    <row r="729" spans="1:20" x14ac:dyDescent="0.2">
      <c r="A729" t="s">
        <v>97</v>
      </c>
      <c r="B729" t="s">
        <v>59</v>
      </c>
      <c r="C729">
        <v>2005</v>
      </c>
      <c r="D729">
        <v>72853000000</v>
      </c>
      <c r="E729">
        <v>8128654380</v>
      </c>
      <c r="F729">
        <v>12684000000</v>
      </c>
      <c r="G729">
        <v>1003000000</v>
      </c>
      <c r="H729">
        <v>32374000000</v>
      </c>
      <c r="I729" t="s">
        <v>18</v>
      </c>
      <c r="J729">
        <v>93645290520.880005</v>
      </c>
      <c r="K729">
        <v>7541000000</v>
      </c>
      <c r="L729" t="s">
        <v>18</v>
      </c>
      <c r="M729">
        <v>4.3533321404817</v>
      </c>
      <c r="N729">
        <v>73.393988137968904</v>
      </c>
      <c r="O729" t="s">
        <v>18</v>
      </c>
      <c r="P729">
        <v>30.12078</v>
      </c>
      <c r="Q729">
        <v>21.546620000000001</v>
      </c>
      <c r="R729">
        <v>16399372200</v>
      </c>
      <c r="S729" t="s">
        <v>18</v>
      </c>
      <c r="T729">
        <v>48224000000</v>
      </c>
    </row>
    <row r="730" spans="1:20" x14ac:dyDescent="0.2">
      <c r="A730" t="s">
        <v>97</v>
      </c>
      <c r="B730" t="s">
        <v>59</v>
      </c>
      <c r="C730">
        <v>2006</v>
      </c>
      <c r="D730">
        <v>83850000000</v>
      </c>
      <c r="E730">
        <v>7928660050</v>
      </c>
      <c r="F730">
        <v>12998000000</v>
      </c>
      <c r="G730">
        <v>1333000000</v>
      </c>
      <c r="H730">
        <v>36868000000</v>
      </c>
      <c r="I730" t="s">
        <v>18</v>
      </c>
      <c r="J730">
        <v>98251453228.279999</v>
      </c>
      <c r="K730">
        <v>9247000000</v>
      </c>
      <c r="L730" t="s">
        <v>18</v>
      </c>
      <c r="M730">
        <v>4.0734244802246096</v>
      </c>
      <c r="N730">
        <v>51.903499741476899</v>
      </c>
      <c r="O730" t="s">
        <v>18</v>
      </c>
      <c r="P730">
        <v>31.01942</v>
      </c>
      <c r="Q730">
        <v>23.178439999999998</v>
      </c>
      <c r="R730">
        <v>20822019870</v>
      </c>
      <c r="S730" t="s">
        <v>18</v>
      </c>
      <c r="T730">
        <v>52215000000</v>
      </c>
    </row>
    <row r="731" spans="1:20" x14ac:dyDescent="0.2">
      <c r="A731" t="s">
        <v>97</v>
      </c>
      <c r="B731" t="s">
        <v>59</v>
      </c>
      <c r="C731">
        <v>2007</v>
      </c>
      <c r="D731">
        <v>88312000000</v>
      </c>
      <c r="E731">
        <v>13014592330</v>
      </c>
      <c r="F731">
        <v>11698000000</v>
      </c>
      <c r="G731">
        <v>3985000000</v>
      </c>
      <c r="H731">
        <v>39029000000</v>
      </c>
      <c r="I731" t="s">
        <v>18</v>
      </c>
      <c r="J731">
        <v>97610595808.119995</v>
      </c>
      <c r="K731">
        <v>7029000000</v>
      </c>
      <c r="L731" t="s">
        <v>18</v>
      </c>
      <c r="M731">
        <v>3.5571421891733999</v>
      </c>
      <c r="N731">
        <v>67.462181244830603</v>
      </c>
      <c r="O731" t="s">
        <v>18</v>
      </c>
      <c r="P731">
        <v>30.180589999999999</v>
      </c>
      <c r="Q731">
        <v>23.031179999999999</v>
      </c>
      <c r="R731">
        <v>18843604140</v>
      </c>
      <c r="S731" t="s">
        <v>18</v>
      </c>
      <c r="T731">
        <v>52897000000</v>
      </c>
    </row>
    <row r="732" spans="1:20" x14ac:dyDescent="0.2">
      <c r="A732" t="s">
        <v>97</v>
      </c>
      <c r="B732" t="s">
        <v>59</v>
      </c>
      <c r="C732">
        <v>2008</v>
      </c>
      <c r="D732">
        <v>101460000000</v>
      </c>
      <c r="E732">
        <v>17120602810</v>
      </c>
      <c r="F732">
        <v>19830000000</v>
      </c>
      <c r="G732">
        <v>2114000000</v>
      </c>
      <c r="H732">
        <v>40428000000</v>
      </c>
      <c r="I732" t="s">
        <v>18</v>
      </c>
      <c r="J732">
        <v>65928207098.959999</v>
      </c>
      <c r="K732">
        <v>6655000000</v>
      </c>
      <c r="L732" t="s">
        <v>18</v>
      </c>
      <c r="M732">
        <v>5.6491971029253696</v>
      </c>
      <c r="N732">
        <v>81.359511170301403</v>
      </c>
      <c r="O732" t="s">
        <v>18</v>
      </c>
      <c r="P732">
        <v>29.786480000000001</v>
      </c>
      <c r="Q732">
        <v>21.723769999999998</v>
      </c>
      <c r="R732">
        <v>22976425080</v>
      </c>
      <c r="S732" t="s">
        <v>18</v>
      </c>
      <c r="T732">
        <v>62697000000</v>
      </c>
    </row>
    <row r="733" spans="1:20" x14ac:dyDescent="0.2">
      <c r="A733" t="s">
        <v>97</v>
      </c>
      <c r="B733" t="s">
        <v>59</v>
      </c>
      <c r="C733">
        <v>2009</v>
      </c>
      <c r="D733">
        <v>116673000000</v>
      </c>
      <c r="E733">
        <v>20014655440</v>
      </c>
      <c r="F733">
        <v>20837000000</v>
      </c>
      <c r="G733">
        <v>1939000000</v>
      </c>
      <c r="H733">
        <v>44436000000</v>
      </c>
      <c r="I733" t="s">
        <v>18</v>
      </c>
      <c r="J733">
        <v>68010993714.480003</v>
      </c>
      <c r="K733">
        <v>9558000000</v>
      </c>
      <c r="L733" t="s">
        <v>18</v>
      </c>
      <c r="M733">
        <v>10.593074712098501</v>
      </c>
      <c r="N733">
        <v>85.442468601342199</v>
      </c>
      <c r="O733" t="s">
        <v>18</v>
      </c>
      <c r="P733">
        <v>26.213429999999999</v>
      </c>
      <c r="Q733">
        <v>18.413799999999998</v>
      </c>
      <c r="R733">
        <v>13049991590</v>
      </c>
      <c r="S733">
        <v>1.03E-2</v>
      </c>
      <c r="T733">
        <v>69347000000</v>
      </c>
    </row>
    <row r="734" spans="1:20" x14ac:dyDescent="0.2">
      <c r="A734" t="s">
        <v>97</v>
      </c>
      <c r="B734" t="s">
        <v>59</v>
      </c>
      <c r="C734">
        <v>2010</v>
      </c>
      <c r="D734">
        <v>117529000000</v>
      </c>
      <c r="E734">
        <v>24697666950</v>
      </c>
      <c r="F734">
        <v>24800000000</v>
      </c>
      <c r="G734">
        <v>1608000000</v>
      </c>
      <c r="H734">
        <v>46073000000</v>
      </c>
      <c r="I734" t="s">
        <v>18</v>
      </c>
      <c r="J734">
        <v>62323384110.559998</v>
      </c>
      <c r="K734">
        <v>5317000000</v>
      </c>
      <c r="L734" t="s">
        <v>18</v>
      </c>
      <c r="M734">
        <v>15.080684634866101</v>
      </c>
      <c r="N734">
        <v>87.990665611634896</v>
      </c>
      <c r="O734" t="s">
        <v>18</v>
      </c>
      <c r="P734">
        <v>25.914670000000001</v>
      </c>
      <c r="Q734">
        <v>15.379619999999999</v>
      </c>
      <c r="R734">
        <v>17114487610</v>
      </c>
      <c r="S734">
        <v>0</v>
      </c>
      <c r="T734">
        <v>74851000000</v>
      </c>
    </row>
    <row r="735" spans="1:20" x14ac:dyDescent="0.2">
      <c r="A735" t="s">
        <v>97</v>
      </c>
      <c r="B735" t="s">
        <v>59</v>
      </c>
      <c r="C735">
        <v>2011</v>
      </c>
      <c r="D735">
        <v>131860000000</v>
      </c>
      <c r="E735">
        <v>26186763840</v>
      </c>
      <c r="F735">
        <v>27783000000</v>
      </c>
      <c r="G735">
        <v>1549000000</v>
      </c>
      <c r="H735">
        <v>51206000000</v>
      </c>
      <c r="I735" t="s">
        <v>18</v>
      </c>
      <c r="J735">
        <v>62924187941.959999</v>
      </c>
      <c r="K735">
        <v>7264000000</v>
      </c>
      <c r="L735" t="s">
        <v>18</v>
      </c>
      <c r="M735">
        <v>15.9042835148765</v>
      </c>
      <c r="N735">
        <v>84.199912010952602</v>
      </c>
      <c r="O735" t="s">
        <v>18</v>
      </c>
      <c r="P735">
        <v>25.656980000000001</v>
      </c>
      <c r="Q735">
        <v>16.465009999999999</v>
      </c>
      <c r="R735">
        <v>19489654810</v>
      </c>
      <c r="S735">
        <v>3.09E-2</v>
      </c>
      <c r="T735">
        <v>83511000000</v>
      </c>
    </row>
    <row r="736" spans="1:20" x14ac:dyDescent="0.2">
      <c r="A736" t="s">
        <v>97</v>
      </c>
      <c r="B736" t="s">
        <v>59</v>
      </c>
      <c r="C736">
        <v>2012</v>
      </c>
      <c r="D736">
        <v>142945000000</v>
      </c>
      <c r="E736">
        <v>14386385470</v>
      </c>
      <c r="F736">
        <v>29597000000</v>
      </c>
      <c r="G736">
        <v>1500000000</v>
      </c>
      <c r="H736">
        <v>55472000000</v>
      </c>
      <c r="I736" t="s">
        <v>18</v>
      </c>
      <c r="J736">
        <v>66069489299.400002</v>
      </c>
      <c r="K736">
        <v>7877000000</v>
      </c>
      <c r="L736" t="s">
        <v>18</v>
      </c>
      <c r="M736">
        <v>11.3990024973931</v>
      </c>
      <c r="N736">
        <v>87.230640608467297</v>
      </c>
      <c r="O736" t="s">
        <v>18</v>
      </c>
      <c r="P736">
        <v>24.192589999999999</v>
      </c>
      <c r="Q736">
        <v>16.483419999999999</v>
      </c>
      <c r="R736">
        <v>19868939430</v>
      </c>
      <c r="S736">
        <v>1.5599999999999999E-2</v>
      </c>
      <c r="T736">
        <v>89990000000</v>
      </c>
    </row>
    <row r="737" spans="1:20" x14ac:dyDescent="0.2">
      <c r="A737" t="s">
        <v>97</v>
      </c>
      <c r="B737" t="s">
        <v>59</v>
      </c>
      <c r="C737">
        <v>2013</v>
      </c>
      <c r="D737">
        <v>140192000000</v>
      </c>
      <c r="E737">
        <v>14845475120</v>
      </c>
      <c r="F737">
        <v>24192000000</v>
      </c>
      <c r="G737">
        <v>7936000000</v>
      </c>
      <c r="H737">
        <v>59060000000</v>
      </c>
      <c r="I737" t="s">
        <v>18</v>
      </c>
      <c r="J737">
        <v>64361422194.300003</v>
      </c>
      <c r="K737">
        <v>4746000000</v>
      </c>
      <c r="L737" t="s">
        <v>18</v>
      </c>
      <c r="M737">
        <v>5.0641493804714797</v>
      </c>
      <c r="N737">
        <v>78.246073954859696</v>
      </c>
      <c r="O737" t="s">
        <v>18</v>
      </c>
      <c r="P737">
        <v>26.168089999999999</v>
      </c>
      <c r="Q737">
        <v>15.45524</v>
      </c>
      <c r="R737">
        <v>14112179780</v>
      </c>
      <c r="S737">
        <v>1.04E-2</v>
      </c>
      <c r="T737">
        <v>86609000000</v>
      </c>
    </row>
    <row r="738" spans="1:20" x14ac:dyDescent="0.2">
      <c r="A738" t="s">
        <v>97</v>
      </c>
      <c r="B738" t="s">
        <v>59</v>
      </c>
      <c r="C738">
        <v>2014</v>
      </c>
      <c r="D738">
        <v>138341000000</v>
      </c>
      <c r="E738">
        <v>17248512100</v>
      </c>
      <c r="F738">
        <v>25560000000</v>
      </c>
      <c r="G738">
        <v>5431000000</v>
      </c>
      <c r="H738">
        <v>58210000000</v>
      </c>
      <c r="I738">
        <v>0.79892630805990805</v>
      </c>
      <c r="J738">
        <v>56947684121.099998</v>
      </c>
      <c r="K738">
        <v>3686000000</v>
      </c>
      <c r="L738">
        <v>-3.3909728225043398</v>
      </c>
      <c r="M738">
        <v>-2.5464220551191201</v>
      </c>
      <c r="N738">
        <v>78.369845706868603</v>
      </c>
      <c r="O738">
        <v>-6.2826850980392202</v>
      </c>
      <c r="P738">
        <v>18.7271</v>
      </c>
      <c r="Q738">
        <v>9.9861000000000004</v>
      </c>
      <c r="R738">
        <v>12085424350</v>
      </c>
      <c r="S738">
        <v>1.9E-3</v>
      </c>
      <c r="T738">
        <v>86609000000</v>
      </c>
    </row>
    <row r="739" spans="1:20" x14ac:dyDescent="0.2">
      <c r="A739" t="s">
        <v>97</v>
      </c>
      <c r="B739" t="s">
        <v>59</v>
      </c>
      <c r="C739">
        <v>2015</v>
      </c>
      <c r="D739">
        <v>150366000000</v>
      </c>
      <c r="E739">
        <v>18691591080</v>
      </c>
      <c r="F739">
        <v>25891000000</v>
      </c>
      <c r="G739">
        <v>6614000000</v>
      </c>
      <c r="H739">
        <v>63186000000</v>
      </c>
      <c r="I739">
        <v>1.3459636932455601</v>
      </c>
      <c r="J739">
        <v>55421326282.5</v>
      </c>
      <c r="K739">
        <v>1808000000</v>
      </c>
      <c r="L739">
        <v>1.5163678937796401</v>
      </c>
      <c r="M739">
        <v>-2.8165370502498899</v>
      </c>
      <c r="N739">
        <v>78.715434402704503</v>
      </c>
      <c r="O739">
        <v>-5.6621299836601304</v>
      </c>
      <c r="P739">
        <v>19.134989999999998</v>
      </c>
      <c r="Q739">
        <v>11.313610000000001</v>
      </c>
      <c r="R739">
        <v>4606815960</v>
      </c>
      <c r="S739">
        <v>3.3E-3</v>
      </c>
      <c r="T739">
        <v>91532000000</v>
      </c>
    </row>
    <row r="740" spans="1:20" x14ac:dyDescent="0.2">
      <c r="A740" t="s">
        <v>97</v>
      </c>
      <c r="B740" t="s">
        <v>59</v>
      </c>
      <c r="C740">
        <v>2016</v>
      </c>
      <c r="D740">
        <v>139001000000</v>
      </c>
      <c r="E740">
        <v>17385644670</v>
      </c>
      <c r="F740">
        <v>27793000000</v>
      </c>
      <c r="G740">
        <v>5209000000</v>
      </c>
      <c r="H740">
        <v>55493000000</v>
      </c>
      <c r="I740">
        <v>1.69334277913501</v>
      </c>
      <c r="J740">
        <v>49461262341.300003</v>
      </c>
      <c r="K740">
        <v>-7399000000</v>
      </c>
      <c r="L740">
        <v>24.879417053519401</v>
      </c>
      <c r="M740">
        <v>-4.0122595790770301</v>
      </c>
      <c r="N740">
        <v>80.767033052219205</v>
      </c>
      <c r="O740">
        <v>-16.910036632451298</v>
      </c>
      <c r="P740">
        <v>18.03669</v>
      </c>
      <c r="Q740">
        <v>5.6566999999999998</v>
      </c>
      <c r="R740">
        <v>2392520740</v>
      </c>
      <c r="S740">
        <v>1.9E-3</v>
      </c>
      <c r="T740">
        <v>85202000000</v>
      </c>
    </row>
    <row r="741" spans="1:20" x14ac:dyDescent="0.2">
      <c r="A741" t="s">
        <v>97</v>
      </c>
      <c r="B741" t="s">
        <v>59</v>
      </c>
      <c r="C741">
        <v>2017</v>
      </c>
      <c r="D741">
        <v>124545000000</v>
      </c>
      <c r="E741">
        <v>13580327500</v>
      </c>
      <c r="F741">
        <v>27239000000</v>
      </c>
      <c r="G741">
        <v>5674000000</v>
      </c>
      <c r="H741">
        <v>53037000000</v>
      </c>
      <c r="I741">
        <v>0.989111651695048</v>
      </c>
      <c r="J741">
        <v>50224441260.599998</v>
      </c>
      <c r="K741">
        <v>-1044000000</v>
      </c>
      <c r="L741">
        <v>6.4323134015565904</v>
      </c>
      <c r="M741">
        <v>-7.3380129752017904</v>
      </c>
      <c r="N741">
        <v>81.0457026361087</v>
      </c>
      <c r="O741">
        <v>-13.390437851549599</v>
      </c>
      <c r="P741">
        <v>17.088699999999999</v>
      </c>
      <c r="Q741">
        <v>3.52929</v>
      </c>
      <c r="R741">
        <v>5583315270</v>
      </c>
      <c r="S741">
        <v>0.17100000000000001</v>
      </c>
      <c r="T741">
        <v>80325000000</v>
      </c>
    </row>
    <row r="742" spans="1:20" x14ac:dyDescent="0.2">
      <c r="A742" t="s">
        <v>97</v>
      </c>
      <c r="B742" t="s">
        <v>59</v>
      </c>
      <c r="C742">
        <v>2018</v>
      </c>
      <c r="D742">
        <v>114928000000</v>
      </c>
      <c r="E742">
        <v>9278951820</v>
      </c>
      <c r="F742">
        <v>24707000000</v>
      </c>
      <c r="G742">
        <v>7363000000</v>
      </c>
      <c r="H742">
        <v>48030000000</v>
      </c>
      <c r="I742">
        <v>0.45860555237922201</v>
      </c>
      <c r="J742">
        <v>51772604211.18</v>
      </c>
      <c r="K742">
        <v>3377000000</v>
      </c>
      <c r="L742">
        <v>5.00404924090215</v>
      </c>
      <c r="M742">
        <v>-8.5348590335209504</v>
      </c>
      <c r="N742">
        <v>82.6394564771212</v>
      </c>
      <c r="O742">
        <v>-11.1784887633975</v>
      </c>
      <c r="P742">
        <v>18.296749999999999</v>
      </c>
      <c r="Q742">
        <v>7.11158</v>
      </c>
      <c r="R742">
        <v>11839125740</v>
      </c>
      <c r="S742">
        <v>0.16450000000000001</v>
      </c>
      <c r="T742">
        <v>72786000000</v>
      </c>
    </row>
    <row r="743" spans="1:20" x14ac:dyDescent="0.2">
      <c r="A743" t="s">
        <v>97</v>
      </c>
      <c r="B743" t="s">
        <v>59</v>
      </c>
      <c r="C743">
        <v>2019</v>
      </c>
      <c r="D743">
        <v>118373000000</v>
      </c>
      <c r="E743">
        <v>14634620950</v>
      </c>
      <c r="F743">
        <v>25865000000</v>
      </c>
      <c r="G743">
        <v>10836000000</v>
      </c>
      <c r="H743">
        <v>51016000000</v>
      </c>
      <c r="I743">
        <v>0.86810758704576096</v>
      </c>
      <c r="J743">
        <v>49839217615.620003</v>
      </c>
      <c r="K743">
        <v>4137000000</v>
      </c>
      <c r="L743">
        <v>2.7454001107285602</v>
      </c>
      <c r="M743">
        <v>-6.5568545218090399</v>
      </c>
      <c r="N743">
        <v>83.908412676171807</v>
      </c>
      <c r="O743">
        <v>-9.7998002277904295</v>
      </c>
      <c r="P743">
        <v>23.26502</v>
      </c>
      <c r="Q743">
        <v>14.046060000000001</v>
      </c>
      <c r="R743">
        <v>9474417320</v>
      </c>
      <c r="S743">
        <v>0.1658</v>
      </c>
      <c r="T743">
        <v>76938000000</v>
      </c>
    </row>
    <row r="744" spans="1:20" x14ac:dyDescent="0.2">
      <c r="A744" t="s">
        <v>97</v>
      </c>
      <c r="B744" t="s">
        <v>59</v>
      </c>
      <c r="C744">
        <v>2020</v>
      </c>
      <c r="D744">
        <v>123440000000</v>
      </c>
      <c r="E744">
        <v>18388033610</v>
      </c>
      <c r="F744">
        <v>30166000000</v>
      </c>
      <c r="G744">
        <v>5994000000</v>
      </c>
      <c r="H744">
        <v>47839000000</v>
      </c>
      <c r="I744">
        <v>1.83797019144407</v>
      </c>
      <c r="J744">
        <v>30341080645.919998</v>
      </c>
      <c r="K744">
        <v>155000000</v>
      </c>
      <c r="L744">
        <v>18.166124108007502</v>
      </c>
      <c r="M744">
        <v>-6.7384656704491404</v>
      </c>
      <c r="N744">
        <v>82.044026889944305</v>
      </c>
      <c r="O744">
        <v>-36.481269311841302</v>
      </c>
      <c r="P744">
        <v>24.219740000000002</v>
      </c>
      <c r="Q744">
        <v>12.61144</v>
      </c>
      <c r="R744">
        <v>1698046590</v>
      </c>
      <c r="S744">
        <v>2.7000000000000001E-3</v>
      </c>
      <c r="T744">
        <v>78066000000</v>
      </c>
    </row>
    <row r="745" spans="1:20" x14ac:dyDescent="0.2">
      <c r="A745" t="s">
        <v>97</v>
      </c>
      <c r="B745" t="s">
        <v>59</v>
      </c>
      <c r="C745">
        <v>2021</v>
      </c>
      <c r="D745">
        <v>109648000000</v>
      </c>
      <c r="E745">
        <v>16378119760</v>
      </c>
      <c r="F745">
        <v>31704000000</v>
      </c>
      <c r="G745">
        <v>9413000000</v>
      </c>
      <c r="H745">
        <v>34415000000</v>
      </c>
      <c r="I745">
        <v>0.98649300912224602</v>
      </c>
      <c r="J745">
        <v>42921001070.592003</v>
      </c>
      <c r="K745">
        <v>-8628000000</v>
      </c>
      <c r="L745">
        <v>8.1839596319859904</v>
      </c>
      <c r="M745">
        <v>-16.2957746321221</v>
      </c>
      <c r="N745">
        <v>83.236013314802094</v>
      </c>
      <c r="O745">
        <v>30.2951370546857</v>
      </c>
      <c r="P745">
        <v>17.637029999999999</v>
      </c>
      <c r="Q745">
        <v>0.79569000000000001</v>
      </c>
      <c r="R745">
        <v>9169051310</v>
      </c>
      <c r="S745">
        <v>2.4331</v>
      </c>
      <c r="T745">
        <v>69197000000</v>
      </c>
    </row>
    <row r="746" spans="1:20" x14ac:dyDescent="0.2">
      <c r="A746" t="s">
        <v>97</v>
      </c>
      <c r="B746" t="s">
        <v>59</v>
      </c>
      <c r="C746">
        <v>2022</v>
      </c>
      <c r="D746">
        <v>137765000000</v>
      </c>
      <c r="E746">
        <v>12300893670</v>
      </c>
      <c r="F746">
        <v>33131000000</v>
      </c>
      <c r="G746">
        <v>8254000000</v>
      </c>
      <c r="H746">
        <v>39437000000</v>
      </c>
      <c r="I746">
        <v>0.42111676790043601</v>
      </c>
      <c r="J746">
        <v>50322265595.93</v>
      </c>
      <c r="K746">
        <v>5840000000</v>
      </c>
      <c r="L746">
        <v>-10.3791287778085</v>
      </c>
      <c r="M746">
        <v>-10.6218437861799</v>
      </c>
      <c r="N746">
        <v>83.148373054875293</v>
      </c>
      <c r="O746">
        <v>60.656945252525297</v>
      </c>
      <c r="P746">
        <v>26.329740000000001</v>
      </c>
      <c r="Q746">
        <v>16.952010000000001</v>
      </c>
      <c r="R746">
        <v>21716105170</v>
      </c>
      <c r="S746">
        <v>4.6753</v>
      </c>
      <c r="T746">
        <v>77650000000</v>
      </c>
    </row>
    <row r="747" spans="1:20" x14ac:dyDescent="0.2">
      <c r="A747" t="s">
        <v>97</v>
      </c>
      <c r="B747" t="s">
        <v>59</v>
      </c>
      <c r="C747">
        <v>2023</v>
      </c>
      <c r="D747">
        <v>152130000000</v>
      </c>
      <c r="E747">
        <v>14889214770</v>
      </c>
      <c r="F747">
        <v>31868000000</v>
      </c>
      <c r="G747">
        <v>10155000000</v>
      </c>
      <c r="H747">
        <v>49759000000</v>
      </c>
      <c r="I747">
        <v>0.63515712438398497</v>
      </c>
      <c r="J747">
        <v>51483052868.25</v>
      </c>
      <c r="K747">
        <v>13961000000</v>
      </c>
      <c r="L747">
        <v>13.800410992601501</v>
      </c>
      <c r="M747">
        <v>-1.47594456513371</v>
      </c>
      <c r="N747">
        <v>87.070126779222406</v>
      </c>
      <c r="O747">
        <v>16.842265351161899</v>
      </c>
      <c r="P747">
        <v>21.842549999999999</v>
      </c>
      <c r="Q747">
        <v>16.26192</v>
      </c>
      <c r="R747">
        <v>14127256040</v>
      </c>
      <c r="S747">
        <v>2.2061999999999999</v>
      </c>
      <c r="T747">
        <v>87098000000</v>
      </c>
    </row>
    <row r="748" spans="1:20" x14ac:dyDescent="0.2">
      <c r="A748" t="s">
        <v>97</v>
      </c>
      <c r="B748" t="s">
        <v>59</v>
      </c>
      <c r="C748">
        <v>2024</v>
      </c>
      <c r="D748">
        <v>142606000000</v>
      </c>
      <c r="E748">
        <v>16588526060</v>
      </c>
      <c r="F748">
        <v>34065000000</v>
      </c>
      <c r="G748">
        <v>9988000000</v>
      </c>
      <c r="H748">
        <v>48184000000</v>
      </c>
      <c r="I748">
        <v>0.86072249394187905</v>
      </c>
      <c r="J748">
        <v>44031879978.150002</v>
      </c>
      <c r="K748">
        <v>4860000000</v>
      </c>
      <c r="L748">
        <v>-1.19247962117824</v>
      </c>
      <c r="M748">
        <v>0.20966834071329801</v>
      </c>
      <c r="N748">
        <v>84.086495392995204</v>
      </c>
      <c r="O748">
        <v>-5.79280318114201</v>
      </c>
      <c r="P748">
        <v>23.007570000000001</v>
      </c>
      <c r="Q748">
        <v>14.80841</v>
      </c>
      <c r="R748">
        <v>10884903350</v>
      </c>
      <c r="S748">
        <v>1.1256999999999999</v>
      </c>
      <c r="T748">
        <v>87709000000</v>
      </c>
    </row>
    <row r="749" spans="1:20" x14ac:dyDescent="0.2">
      <c r="A749" t="s">
        <v>97</v>
      </c>
      <c r="B749" t="s">
        <v>59</v>
      </c>
      <c r="C749">
        <v>2025</v>
      </c>
      <c r="D749">
        <v>146939000000</v>
      </c>
      <c r="E749">
        <v>17878301710</v>
      </c>
      <c r="F749">
        <v>36843000000</v>
      </c>
      <c r="G749">
        <v>8129000000</v>
      </c>
      <c r="H749">
        <v>47785000000</v>
      </c>
      <c r="I749">
        <v>1.07968348740731</v>
      </c>
      <c r="J749">
        <v>50908366014.292</v>
      </c>
      <c r="K749">
        <v>2764000000</v>
      </c>
      <c r="L749">
        <v>0.13479005179227699</v>
      </c>
      <c r="M749">
        <v>0.27073636585688299</v>
      </c>
      <c r="N749">
        <v>83.828408472969798</v>
      </c>
      <c r="O749">
        <v>0.51797512189023598</v>
      </c>
      <c r="P749">
        <v>20.683129999999998</v>
      </c>
      <c r="Q749">
        <v>11.795439999999999</v>
      </c>
      <c r="R749">
        <v>8973208960</v>
      </c>
      <c r="S749">
        <v>0.89639999999999997</v>
      </c>
      <c r="T749">
        <v>92491000000</v>
      </c>
    </row>
    <row r="750" spans="1:20" x14ac:dyDescent="0.2">
      <c r="A750" t="s">
        <v>133</v>
      </c>
      <c r="B750" t="s">
        <v>63</v>
      </c>
      <c r="C750">
        <v>2004</v>
      </c>
      <c r="D750">
        <v>1029985000</v>
      </c>
      <c r="E750">
        <v>394982500</v>
      </c>
      <c r="F750">
        <v>463669000</v>
      </c>
      <c r="G750">
        <v>65288000</v>
      </c>
      <c r="H750">
        <v>243732000</v>
      </c>
      <c r="I750" t="s">
        <v>18</v>
      </c>
      <c r="J750">
        <v>983509542.03075004</v>
      </c>
      <c r="K750">
        <v>33424000</v>
      </c>
      <c r="L750" t="s">
        <v>18</v>
      </c>
      <c r="M750">
        <v>-7.1568168777810603</v>
      </c>
      <c r="N750" t="s">
        <v>18</v>
      </c>
      <c r="O750" t="s">
        <v>18</v>
      </c>
      <c r="P750">
        <v>16.640460000000001</v>
      </c>
      <c r="Q750">
        <v>9.1508299999999991</v>
      </c>
      <c r="R750">
        <v>88500000</v>
      </c>
      <c r="S750" t="s">
        <v>18</v>
      </c>
      <c r="T750">
        <v>710350000</v>
      </c>
    </row>
    <row r="751" spans="1:20" x14ac:dyDescent="0.2">
      <c r="A751" t="s">
        <v>133</v>
      </c>
      <c r="B751" t="s">
        <v>63</v>
      </c>
      <c r="C751">
        <v>2005</v>
      </c>
      <c r="D751">
        <v>983350000</v>
      </c>
      <c r="E751">
        <v>307368880</v>
      </c>
      <c r="F751">
        <v>453173000</v>
      </c>
      <c r="G751">
        <v>26330000</v>
      </c>
      <c r="H751">
        <v>223913000</v>
      </c>
      <c r="I751" t="s">
        <v>18</v>
      </c>
      <c r="J751">
        <v>1732328025.1526899</v>
      </c>
      <c r="K751">
        <v>52585000</v>
      </c>
      <c r="L751" t="s">
        <v>18</v>
      </c>
      <c r="M751">
        <v>18.030173748967702</v>
      </c>
      <c r="N751">
        <v>15.7343320103161</v>
      </c>
      <c r="O751" t="s">
        <v>18</v>
      </c>
      <c r="P751">
        <v>18.3065</v>
      </c>
      <c r="Q751">
        <v>11.04297</v>
      </c>
      <c r="R751">
        <v>149537780</v>
      </c>
      <c r="S751" t="s">
        <v>18</v>
      </c>
      <c r="T751">
        <v>681413000</v>
      </c>
    </row>
    <row r="752" spans="1:20" x14ac:dyDescent="0.2">
      <c r="A752" t="s">
        <v>133</v>
      </c>
      <c r="B752" t="s">
        <v>63</v>
      </c>
      <c r="C752">
        <v>2006</v>
      </c>
      <c r="D752">
        <v>1138660000</v>
      </c>
      <c r="E752">
        <v>316533800</v>
      </c>
      <c r="F752">
        <v>337305000</v>
      </c>
      <c r="G752">
        <v>74892000</v>
      </c>
      <c r="H752">
        <v>465460000</v>
      </c>
      <c r="I752" t="s">
        <v>18</v>
      </c>
      <c r="J752">
        <v>2367583767.4935002</v>
      </c>
      <c r="K752">
        <v>101330000</v>
      </c>
      <c r="L752" t="s">
        <v>18</v>
      </c>
      <c r="M752">
        <v>11.9668243772048</v>
      </c>
      <c r="N752">
        <v>14.706509068575199</v>
      </c>
      <c r="O752" t="s">
        <v>18</v>
      </c>
      <c r="P752">
        <v>19.313120000000001</v>
      </c>
      <c r="Q752">
        <v>12.41325</v>
      </c>
      <c r="R752">
        <v>202821880</v>
      </c>
      <c r="S752" t="s">
        <v>18</v>
      </c>
      <c r="T752">
        <v>808091000</v>
      </c>
    </row>
    <row r="753" spans="1:20" x14ac:dyDescent="0.2">
      <c r="A753" t="s">
        <v>133</v>
      </c>
      <c r="B753" t="s">
        <v>63</v>
      </c>
      <c r="C753">
        <v>2007</v>
      </c>
      <c r="D753">
        <v>1405698000</v>
      </c>
      <c r="E753">
        <v>518234080</v>
      </c>
      <c r="F753">
        <v>441886000</v>
      </c>
      <c r="G753">
        <v>71048000</v>
      </c>
      <c r="H753">
        <v>562417000</v>
      </c>
      <c r="I753" t="s">
        <v>18</v>
      </c>
      <c r="J753">
        <v>3909816972.3867502</v>
      </c>
      <c r="K753">
        <v>141749000</v>
      </c>
      <c r="L753" t="s">
        <v>18</v>
      </c>
      <c r="M753">
        <v>16.286161737097999</v>
      </c>
      <c r="N753">
        <v>18.504806576539799</v>
      </c>
      <c r="O753" t="s">
        <v>18</v>
      </c>
      <c r="P753">
        <v>21.06644</v>
      </c>
      <c r="Q753">
        <v>14.75034</v>
      </c>
      <c r="R753">
        <v>319498500</v>
      </c>
      <c r="S753" t="s">
        <v>18</v>
      </c>
      <c r="T753">
        <v>1007667000</v>
      </c>
    </row>
    <row r="754" spans="1:20" x14ac:dyDescent="0.2">
      <c r="A754" t="s">
        <v>133</v>
      </c>
      <c r="B754" t="s">
        <v>63</v>
      </c>
      <c r="C754">
        <v>2008</v>
      </c>
      <c r="D754">
        <v>1700130000</v>
      </c>
      <c r="E754">
        <v>520310170</v>
      </c>
      <c r="F754">
        <v>534860000</v>
      </c>
      <c r="G754">
        <v>71974000</v>
      </c>
      <c r="H754">
        <v>699989000</v>
      </c>
      <c r="I754" t="s">
        <v>18</v>
      </c>
      <c r="J754">
        <v>1598554614.36395</v>
      </c>
      <c r="K754">
        <v>222329000</v>
      </c>
      <c r="L754" t="s">
        <v>18</v>
      </c>
      <c r="M754">
        <v>24.537458496128298</v>
      </c>
      <c r="N754">
        <v>25.8188835850803</v>
      </c>
      <c r="O754" t="s">
        <v>18</v>
      </c>
      <c r="P754">
        <v>24.77814</v>
      </c>
      <c r="Q754">
        <v>18.01784</v>
      </c>
      <c r="R754">
        <v>414640900</v>
      </c>
      <c r="S754" t="s">
        <v>18</v>
      </c>
      <c r="T754">
        <v>1241882000</v>
      </c>
    </row>
    <row r="755" spans="1:20" x14ac:dyDescent="0.2">
      <c r="A755" t="s">
        <v>133</v>
      </c>
      <c r="B755" t="s">
        <v>63</v>
      </c>
      <c r="C755">
        <v>2009</v>
      </c>
      <c r="D755">
        <v>2123306000</v>
      </c>
      <c r="E755">
        <v>528798640</v>
      </c>
      <c r="F755">
        <v>616449000</v>
      </c>
      <c r="G755">
        <v>113286000</v>
      </c>
      <c r="H755">
        <v>928329000</v>
      </c>
      <c r="I755" t="s">
        <v>18</v>
      </c>
      <c r="J755">
        <v>3115451993.7348399</v>
      </c>
      <c r="K755">
        <v>289456000</v>
      </c>
      <c r="L755" t="s">
        <v>18</v>
      </c>
      <c r="M755">
        <v>50.826686746331099</v>
      </c>
      <c r="N755">
        <v>30.531248210896301</v>
      </c>
      <c r="O755" t="s">
        <v>18</v>
      </c>
      <c r="P755">
        <v>24.801690000000001</v>
      </c>
      <c r="Q755">
        <v>17.86515</v>
      </c>
      <c r="R755">
        <v>377557100</v>
      </c>
      <c r="S755">
        <v>6</v>
      </c>
      <c r="T755">
        <v>1552260000</v>
      </c>
    </row>
    <row r="756" spans="1:20" x14ac:dyDescent="0.2">
      <c r="A756" t="s">
        <v>133</v>
      </c>
      <c r="B756" t="s">
        <v>63</v>
      </c>
      <c r="C756">
        <v>2010</v>
      </c>
      <c r="D756">
        <v>2366317000</v>
      </c>
      <c r="E756">
        <v>603175620</v>
      </c>
      <c r="F756">
        <v>634721000</v>
      </c>
      <c r="G756">
        <v>107795000</v>
      </c>
      <c r="H756">
        <v>1187731000</v>
      </c>
      <c r="I756" t="s">
        <v>18</v>
      </c>
      <c r="J756">
        <v>4260715456.1537399</v>
      </c>
      <c r="K756">
        <v>273065000</v>
      </c>
      <c r="L756" t="s">
        <v>18</v>
      </c>
      <c r="M756">
        <v>30.799307785520401</v>
      </c>
      <c r="N756">
        <v>25.4899609184511</v>
      </c>
      <c r="O756" t="s">
        <v>18</v>
      </c>
      <c r="P756">
        <v>26.720320000000001</v>
      </c>
      <c r="Q756">
        <v>17.771999999999998</v>
      </c>
      <c r="R756">
        <v>356414540</v>
      </c>
      <c r="S756">
        <v>4</v>
      </c>
      <c r="T756">
        <v>1834231000</v>
      </c>
    </row>
    <row r="757" spans="1:20" x14ac:dyDescent="0.2">
      <c r="A757" t="s">
        <v>133</v>
      </c>
      <c r="B757" t="s">
        <v>63</v>
      </c>
      <c r="C757">
        <v>2011</v>
      </c>
      <c r="D757">
        <v>3089991000</v>
      </c>
      <c r="E757">
        <v>947763850</v>
      </c>
      <c r="F757">
        <v>914821000</v>
      </c>
      <c r="G757">
        <v>81363000</v>
      </c>
      <c r="H757">
        <v>1508318000</v>
      </c>
      <c r="I757" t="s">
        <v>18</v>
      </c>
      <c r="J757">
        <v>3315543607.56675</v>
      </c>
      <c r="K757">
        <v>280153000</v>
      </c>
      <c r="L757" t="s">
        <v>18</v>
      </c>
      <c r="M757">
        <v>40.134193516672802</v>
      </c>
      <c r="N757">
        <v>40.524361519393601</v>
      </c>
      <c r="O757" t="s">
        <v>18</v>
      </c>
      <c r="P757">
        <v>24.494789999999998</v>
      </c>
      <c r="Q757">
        <v>15.30321</v>
      </c>
      <c r="R757">
        <v>375749860</v>
      </c>
      <c r="S757">
        <v>5</v>
      </c>
      <c r="T757">
        <v>2438068000</v>
      </c>
    </row>
    <row r="758" spans="1:20" x14ac:dyDescent="0.2">
      <c r="A758" t="s">
        <v>133</v>
      </c>
      <c r="B758" t="s">
        <v>63</v>
      </c>
      <c r="C758">
        <v>2012</v>
      </c>
      <c r="D758">
        <v>3861595000</v>
      </c>
      <c r="E758">
        <v>868293920</v>
      </c>
      <c r="F758">
        <v>1462759000</v>
      </c>
      <c r="G758">
        <v>170384000</v>
      </c>
      <c r="H758">
        <v>1655785000</v>
      </c>
      <c r="I758" t="s">
        <v>18</v>
      </c>
      <c r="J758">
        <v>3755065773.3134699</v>
      </c>
      <c r="K758">
        <v>301586000</v>
      </c>
      <c r="L758" t="s">
        <v>18</v>
      </c>
      <c r="M758">
        <v>9.1310518902804105</v>
      </c>
      <c r="N758">
        <v>40.706064782765402</v>
      </c>
      <c r="O758" t="s">
        <v>18</v>
      </c>
      <c r="P758">
        <v>31.35735</v>
      </c>
      <c r="Q758">
        <v>18.889500000000002</v>
      </c>
      <c r="R758">
        <v>426899920</v>
      </c>
      <c r="S758">
        <v>3</v>
      </c>
      <c r="T758">
        <v>3136893000</v>
      </c>
    </row>
    <row r="759" spans="1:20" x14ac:dyDescent="0.2">
      <c r="A759" t="s">
        <v>133</v>
      </c>
      <c r="B759" t="s">
        <v>63</v>
      </c>
      <c r="C759">
        <v>2013</v>
      </c>
      <c r="D759">
        <v>4169716000</v>
      </c>
      <c r="E759">
        <v>594805080</v>
      </c>
      <c r="F759">
        <v>1399471000</v>
      </c>
      <c r="G759">
        <v>92019000</v>
      </c>
      <c r="H759">
        <v>1956729000</v>
      </c>
      <c r="I759" t="s">
        <v>18</v>
      </c>
      <c r="J759">
        <v>3708528779.3709898</v>
      </c>
      <c r="K759">
        <v>241404000</v>
      </c>
      <c r="L759" t="s">
        <v>18</v>
      </c>
      <c r="M759">
        <v>4.0285468173519403</v>
      </c>
      <c r="N759">
        <v>39.581570189327898</v>
      </c>
      <c r="O759" t="s">
        <v>18</v>
      </c>
      <c r="P759">
        <v>22.38374</v>
      </c>
      <c r="Q759">
        <v>15.051439999999999</v>
      </c>
      <c r="R759">
        <v>325578000</v>
      </c>
      <c r="S759">
        <v>4</v>
      </c>
      <c r="T759">
        <v>3377840000</v>
      </c>
    </row>
    <row r="760" spans="1:20" x14ac:dyDescent="0.2">
      <c r="A760" t="s">
        <v>133</v>
      </c>
      <c r="B760" t="s">
        <v>63</v>
      </c>
      <c r="C760">
        <v>2014</v>
      </c>
      <c r="D760">
        <v>3630602000</v>
      </c>
      <c r="E760">
        <v>856975730</v>
      </c>
      <c r="F760">
        <v>812703000</v>
      </c>
      <c r="G760">
        <v>164185000</v>
      </c>
      <c r="H760">
        <v>2024971000</v>
      </c>
      <c r="I760">
        <v>3.44849228866163</v>
      </c>
      <c r="J760">
        <v>1511311268.5769701</v>
      </c>
      <c r="K760">
        <v>213853000</v>
      </c>
      <c r="L760">
        <v>-2.2913344864803502</v>
      </c>
      <c r="M760">
        <v>-1.1571102289790001</v>
      </c>
      <c r="N760">
        <v>35.825835473316502</v>
      </c>
      <c r="O760">
        <v>-1.8639068666140499</v>
      </c>
      <c r="P760">
        <v>22.480429999999998</v>
      </c>
      <c r="Q760">
        <v>10.99316</v>
      </c>
      <c r="R760">
        <v>32959130</v>
      </c>
      <c r="S760">
        <v>0</v>
      </c>
      <c r="T760">
        <v>2923621000</v>
      </c>
    </row>
    <row r="761" spans="1:20" x14ac:dyDescent="0.2">
      <c r="A761" t="s">
        <v>133</v>
      </c>
      <c r="B761" t="s">
        <v>63</v>
      </c>
      <c r="C761">
        <v>2015</v>
      </c>
      <c r="D761">
        <v>3565672000</v>
      </c>
      <c r="E761">
        <v>614649110</v>
      </c>
      <c r="F761">
        <v>1123120000</v>
      </c>
      <c r="G761">
        <v>322167000</v>
      </c>
      <c r="H761">
        <v>1517766000</v>
      </c>
      <c r="I761">
        <v>1.88346461122972</v>
      </c>
      <c r="J761">
        <v>1526111462.6461501</v>
      </c>
      <c r="K761">
        <v>-547645000</v>
      </c>
      <c r="L761">
        <v>-11.317491849345</v>
      </c>
      <c r="M761">
        <v>-1.2401725649600499</v>
      </c>
      <c r="N761">
        <v>22.658654015556799</v>
      </c>
      <c r="O761">
        <v>-52.080441444728201</v>
      </c>
      <c r="P761">
        <v>9.75305</v>
      </c>
      <c r="Q761">
        <v>-1.5706100000000001</v>
      </c>
      <c r="R761">
        <v>107551330</v>
      </c>
      <c r="S761">
        <v>0</v>
      </c>
      <c r="T761">
        <v>2635538000</v>
      </c>
    </row>
    <row r="762" spans="1:20" x14ac:dyDescent="0.2">
      <c r="A762" t="s">
        <v>133</v>
      </c>
      <c r="B762" t="s">
        <v>63</v>
      </c>
      <c r="C762">
        <v>2016</v>
      </c>
      <c r="D762">
        <v>2841184000</v>
      </c>
      <c r="E762">
        <v>414419430</v>
      </c>
      <c r="F762">
        <v>839712000</v>
      </c>
      <c r="G762">
        <v>304993000</v>
      </c>
      <c r="H762">
        <v>1197655000</v>
      </c>
      <c r="I762">
        <v>2.4805348511726701</v>
      </c>
      <c r="J762">
        <v>1325251685.9930201</v>
      </c>
      <c r="K762">
        <v>-358689000</v>
      </c>
      <c r="L762">
        <v>-14.5490580784929</v>
      </c>
      <c r="M762">
        <v>-16.039817443098201</v>
      </c>
      <c r="N762">
        <v>43.110031631076701</v>
      </c>
      <c r="O762">
        <v>-59.752667131960699</v>
      </c>
      <c r="P762">
        <v>15.170970000000001</v>
      </c>
      <c r="Q762">
        <v>5.0199199999999999</v>
      </c>
      <c r="R762">
        <v>-41580710</v>
      </c>
      <c r="S762">
        <v>0</v>
      </c>
      <c r="T762">
        <v>2074069000</v>
      </c>
    </row>
    <row r="763" spans="1:20" x14ac:dyDescent="0.2">
      <c r="A763" t="s">
        <v>133</v>
      </c>
      <c r="B763" t="s">
        <v>63</v>
      </c>
      <c r="C763">
        <v>2017</v>
      </c>
      <c r="D763">
        <v>2174449000</v>
      </c>
      <c r="E763">
        <v>378800000</v>
      </c>
      <c r="F763">
        <v>612227000</v>
      </c>
      <c r="G763">
        <v>248488000</v>
      </c>
      <c r="H763">
        <v>934859000</v>
      </c>
      <c r="I763">
        <v>2.86879477317405</v>
      </c>
      <c r="J763">
        <v>1007258933.46451</v>
      </c>
      <c r="K763">
        <v>-300983000</v>
      </c>
      <c r="L763">
        <v>-1.8094212491831401</v>
      </c>
      <c r="M763">
        <v>-22.9709838268436</v>
      </c>
      <c r="N763">
        <v>44.312410594660399</v>
      </c>
      <c r="O763">
        <v>23.2148104956268</v>
      </c>
      <c r="P763">
        <v>9.5685300000000009</v>
      </c>
      <c r="Q763">
        <v>-0.61958000000000002</v>
      </c>
      <c r="R763">
        <v>-27740000</v>
      </c>
      <c r="S763">
        <v>21.898700000000002</v>
      </c>
      <c r="T763">
        <v>1602336000</v>
      </c>
    </row>
    <row r="764" spans="1:20" x14ac:dyDescent="0.2">
      <c r="A764" t="s">
        <v>133</v>
      </c>
      <c r="B764" t="s">
        <v>63</v>
      </c>
      <c r="C764">
        <v>2018</v>
      </c>
      <c r="D764">
        <v>1898304000</v>
      </c>
      <c r="E764">
        <v>410000000</v>
      </c>
      <c r="F764">
        <v>649230000</v>
      </c>
      <c r="G764">
        <v>213574000</v>
      </c>
      <c r="H764">
        <v>712054000</v>
      </c>
      <c r="I764">
        <v>3.1470134196967301</v>
      </c>
      <c r="J764">
        <v>908309041.77481103</v>
      </c>
      <c r="K764">
        <v>-165344000</v>
      </c>
      <c r="L764">
        <v>9.2091013975545692</v>
      </c>
      <c r="M764">
        <v>-20.336075231899201</v>
      </c>
      <c r="N764">
        <v>61.713931015720803</v>
      </c>
      <c r="O764">
        <v>-29.7024907407407</v>
      </c>
      <c r="P764">
        <v>7.2442000000000002</v>
      </c>
      <c r="Q764">
        <v>-1.63805</v>
      </c>
      <c r="R764">
        <v>23750000</v>
      </c>
      <c r="S764">
        <v>21.589600000000001</v>
      </c>
      <c r="T764">
        <v>1402894000</v>
      </c>
    </row>
    <row r="765" spans="1:20" x14ac:dyDescent="0.2">
      <c r="A765" t="s">
        <v>133</v>
      </c>
      <c r="B765" t="s">
        <v>63</v>
      </c>
      <c r="C765">
        <v>2019</v>
      </c>
      <c r="D765">
        <v>1944422000</v>
      </c>
      <c r="E765">
        <v>612000000</v>
      </c>
      <c r="F765">
        <v>733299000</v>
      </c>
      <c r="G765">
        <v>227147000</v>
      </c>
      <c r="H765">
        <v>668763000</v>
      </c>
      <c r="I765">
        <v>4.7197001324639398</v>
      </c>
      <c r="J765">
        <v>722080334.608832</v>
      </c>
      <c r="K765">
        <v>-35819000</v>
      </c>
      <c r="L765">
        <v>8.1507088145896596</v>
      </c>
      <c r="M765">
        <v>-27.263861732015101</v>
      </c>
      <c r="N765">
        <v>70.489665146894893</v>
      </c>
      <c r="O765">
        <v>146.42821531843401</v>
      </c>
      <c r="P765">
        <v>7.8612200000000003</v>
      </c>
      <c r="Q765">
        <v>2.0068800000000002</v>
      </c>
      <c r="R765">
        <v>57266670</v>
      </c>
      <c r="S765">
        <v>24.586400000000001</v>
      </c>
      <c r="T765">
        <v>1435784000</v>
      </c>
    </row>
    <row r="766" spans="1:20" x14ac:dyDescent="0.2">
      <c r="A766" t="s">
        <v>133</v>
      </c>
      <c r="B766" t="s">
        <v>63</v>
      </c>
      <c r="C766">
        <v>2020</v>
      </c>
      <c r="D766">
        <v>2056304000</v>
      </c>
      <c r="E766">
        <v>499000000</v>
      </c>
      <c r="F766">
        <v>847792000</v>
      </c>
      <c r="G766">
        <v>201147000</v>
      </c>
      <c r="H766">
        <v>597257000</v>
      </c>
      <c r="I766">
        <v>3.7838032343318599</v>
      </c>
      <c r="J766">
        <v>448815838.41364002</v>
      </c>
      <c r="K766">
        <v>-36760000</v>
      </c>
      <c r="L766">
        <v>2.6441045719371501</v>
      </c>
      <c r="M766">
        <v>-22.601449709646001</v>
      </c>
      <c r="N766">
        <v>73.802462282376695</v>
      </c>
      <c r="O766">
        <v>-11.883818181818199</v>
      </c>
      <c r="P766">
        <v>11.345599999999999</v>
      </c>
      <c r="Q766">
        <v>4.1795999999999998</v>
      </c>
      <c r="R766">
        <v>17533330</v>
      </c>
      <c r="S766">
        <v>26.695</v>
      </c>
      <c r="T766">
        <v>1455679000</v>
      </c>
    </row>
    <row r="767" spans="1:20" x14ac:dyDescent="0.2">
      <c r="A767" t="s">
        <v>133</v>
      </c>
      <c r="B767" t="s">
        <v>63</v>
      </c>
      <c r="C767">
        <v>2021</v>
      </c>
      <c r="D767">
        <v>1701044000</v>
      </c>
      <c r="E767">
        <v>283500000</v>
      </c>
      <c r="F767">
        <v>479270000</v>
      </c>
      <c r="G767">
        <v>183462000</v>
      </c>
      <c r="H767">
        <v>702070000</v>
      </c>
      <c r="I767">
        <v>1.71794709344704</v>
      </c>
      <c r="J767">
        <v>685184030.24000001</v>
      </c>
      <c r="K767">
        <v>-71950000</v>
      </c>
      <c r="L767">
        <v>8.1148369110161305</v>
      </c>
      <c r="M767">
        <v>-15.830671466158501</v>
      </c>
      <c r="N767">
        <v>71.574918381676298</v>
      </c>
      <c r="O767">
        <v>-19.950738916256199</v>
      </c>
      <c r="P767">
        <v>10.534280000000001</v>
      </c>
      <c r="Q767">
        <v>2.3291400000000002</v>
      </c>
      <c r="R767">
        <v>58333330</v>
      </c>
      <c r="S767">
        <v>25.9861</v>
      </c>
      <c r="T767">
        <v>1190920000</v>
      </c>
    </row>
    <row r="768" spans="1:20" x14ac:dyDescent="0.2">
      <c r="A768" t="s">
        <v>133</v>
      </c>
      <c r="B768" t="s">
        <v>63</v>
      </c>
      <c r="C768">
        <v>2022</v>
      </c>
      <c r="D768">
        <v>1838337000</v>
      </c>
      <c r="E768">
        <v>106750000</v>
      </c>
      <c r="F768">
        <v>441667000</v>
      </c>
      <c r="G768">
        <v>148956000</v>
      </c>
      <c r="H768">
        <v>851203000</v>
      </c>
      <c r="I768">
        <v>0.50064423096265698</v>
      </c>
      <c r="J768">
        <v>1703776124.02</v>
      </c>
      <c r="K768">
        <v>62522000</v>
      </c>
      <c r="L768">
        <v>12.496076979233701</v>
      </c>
      <c r="M768">
        <v>0.102604102358739</v>
      </c>
      <c r="N768">
        <v>69.522337878439401</v>
      </c>
      <c r="O768">
        <v>55.702827763496103</v>
      </c>
      <c r="P768">
        <v>11.282769999999999</v>
      </c>
      <c r="Q768">
        <v>3.5753599999999999</v>
      </c>
      <c r="R768">
        <v>117000000</v>
      </c>
      <c r="S768">
        <v>26.4497</v>
      </c>
      <c r="T768">
        <v>1303231000</v>
      </c>
    </row>
    <row r="769" spans="1:20" x14ac:dyDescent="0.2">
      <c r="A769" t="s">
        <v>133</v>
      </c>
      <c r="B769" t="s">
        <v>63</v>
      </c>
      <c r="C769">
        <v>2023</v>
      </c>
      <c r="D769">
        <v>2050729000</v>
      </c>
      <c r="E769">
        <v>260620000</v>
      </c>
      <c r="F769">
        <v>416501000</v>
      </c>
      <c r="G769">
        <v>209090000</v>
      </c>
      <c r="H769">
        <v>1048331000</v>
      </c>
      <c r="I769">
        <v>0.68610750192676395</v>
      </c>
      <c r="J769">
        <v>1938740586.1600001</v>
      </c>
      <c r="K769">
        <v>79291000</v>
      </c>
      <c r="L769">
        <v>8.8816742888556295</v>
      </c>
      <c r="M769">
        <v>0.97412621030272795</v>
      </c>
      <c r="N769">
        <v>68.528590485036901</v>
      </c>
      <c r="O769">
        <v>81.949834024896305</v>
      </c>
      <c r="P769">
        <v>12.311769999999999</v>
      </c>
      <c r="Q769">
        <v>5.3571099999999996</v>
      </c>
      <c r="R769">
        <v>209242860</v>
      </c>
      <c r="S769">
        <v>31.524799999999999</v>
      </c>
      <c r="T769">
        <v>1476101000</v>
      </c>
    </row>
    <row r="770" spans="1:20" x14ac:dyDescent="0.2">
      <c r="A770" t="s">
        <v>133</v>
      </c>
      <c r="B770" t="s">
        <v>63</v>
      </c>
      <c r="C770">
        <v>2024</v>
      </c>
      <c r="D770">
        <v>2400735000</v>
      </c>
      <c r="E770">
        <v>113560000</v>
      </c>
      <c r="F770">
        <v>436809000</v>
      </c>
      <c r="G770">
        <v>326294000</v>
      </c>
      <c r="H770">
        <v>1290558000</v>
      </c>
      <c r="I770">
        <v>0.24650965251418999</v>
      </c>
      <c r="J770">
        <v>1990033395.2</v>
      </c>
      <c r="K770">
        <v>257396000</v>
      </c>
      <c r="L770">
        <v>9.3327328978819892</v>
      </c>
      <c r="M770">
        <v>23.4197302536524</v>
      </c>
      <c r="N770">
        <v>66.456058591811299</v>
      </c>
      <c r="O770">
        <v>36.512295374741001</v>
      </c>
      <c r="P770">
        <v>17.989619999999999</v>
      </c>
      <c r="Q770">
        <v>11.35258</v>
      </c>
      <c r="R770">
        <v>292601250</v>
      </c>
      <c r="S770">
        <v>36.5745</v>
      </c>
      <c r="T770">
        <v>1739997000</v>
      </c>
    </row>
    <row r="771" spans="1:20" x14ac:dyDescent="0.2">
      <c r="A771" t="s">
        <v>133</v>
      </c>
      <c r="B771" t="s">
        <v>63</v>
      </c>
      <c r="C771">
        <v>2025</v>
      </c>
      <c r="D771">
        <v>2629709000</v>
      </c>
      <c r="E771">
        <v>251166670</v>
      </c>
      <c r="F771">
        <v>415624000</v>
      </c>
      <c r="G771">
        <v>319465000</v>
      </c>
      <c r="H771">
        <v>1496147000</v>
      </c>
      <c r="I771">
        <v>1.0528902617026801</v>
      </c>
      <c r="J771">
        <v>991468854.76499999</v>
      </c>
      <c r="K771">
        <v>267840000</v>
      </c>
      <c r="L771">
        <v>-5.0985295198829199</v>
      </c>
      <c r="M771">
        <v>25.402024867797099</v>
      </c>
      <c r="N771">
        <v>66.064752842057203</v>
      </c>
      <c r="O771">
        <v>-5.4439168241965996</v>
      </c>
      <c r="P771">
        <v>21.05686</v>
      </c>
      <c r="Q771">
        <v>13.62843</v>
      </c>
      <c r="R771">
        <v>84900000</v>
      </c>
      <c r="S771">
        <v>39.064399999999999</v>
      </c>
      <c r="T771">
        <v>1929128000</v>
      </c>
    </row>
    <row r="772" spans="1:20" x14ac:dyDescent="0.2">
      <c r="A772" t="s">
        <v>134</v>
      </c>
      <c r="B772" t="s">
        <v>64</v>
      </c>
      <c r="C772">
        <v>2004</v>
      </c>
      <c r="D772">
        <v>27507000</v>
      </c>
      <c r="E772" t="s">
        <v>18</v>
      </c>
      <c r="F772">
        <v>31423000</v>
      </c>
      <c r="G772" t="s">
        <v>18</v>
      </c>
      <c r="H772">
        <v>-4085000</v>
      </c>
      <c r="I772" t="s">
        <v>18</v>
      </c>
      <c r="J772" t="s">
        <v>18</v>
      </c>
      <c r="K772">
        <v>-686000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  <c r="S772" t="s">
        <v>18</v>
      </c>
      <c r="T772">
        <v>27338000</v>
      </c>
    </row>
    <row r="773" spans="1:20" x14ac:dyDescent="0.2">
      <c r="A773" t="s">
        <v>134</v>
      </c>
      <c r="B773" t="s">
        <v>64</v>
      </c>
      <c r="C773">
        <v>2005</v>
      </c>
      <c r="D773">
        <v>191090000</v>
      </c>
      <c r="E773" t="s">
        <v>18</v>
      </c>
      <c r="F773">
        <v>266056000</v>
      </c>
      <c r="G773" t="s">
        <v>18</v>
      </c>
      <c r="H773">
        <v>29956000</v>
      </c>
      <c r="I773" t="s">
        <v>18</v>
      </c>
      <c r="J773" t="s">
        <v>18</v>
      </c>
      <c r="K773">
        <v>-8482000</v>
      </c>
      <c r="L773" t="s">
        <v>18</v>
      </c>
      <c r="M773" t="s">
        <v>18</v>
      </c>
      <c r="N773" t="s">
        <v>18</v>
      </c>
      <c r="O773" t="s">
        <v>18</v>
      </c>
      <c r="P773">
        <v>-5086.2069000000001</v>
      </c>
      <c r="Q773">
        <v>-5221.5517200000004</v>
      </c>
      <c r="R773" t="s">
        <v>18</v>
      </c>
      <c r="S773" t="s">
        <v>18</v>
      </c>
      <c r="T773">
        <v>296012000</v>
      </c>
    </row>
    <row r="774" spans="1:20" x14ac:dyDescent="0.2">
      <c r="A774" t="s">
        <v>134</v>
      </c>
      <c r="B774" t="s">
        <v>64</v>
      </c>
      <c r="C774">
        <v>2006</v>
      </c>
      <c r="D774">
        <v>150466000</v>
      </c>
      <c r="E774">
        <v>-30715000</v>
      </c>
      <c r="F774">
        <v>182898000</v>
      </c>
      <c r="G774" t="s">
        <v>18</v>
      </c>
      <c r="H774">
        <v>1032000</v>
      </c>
      <c r="I774" t="s">
        <v>18</v>
      </c>
      <c r="J774">
        <v>607750000</v>
      </c>
      <c r="K774">
        <v>-31722000</v>
      </c>
      <c r="L774" t="s">
        <v>18</v>
      </c>
      <c r="M774" t="s">
        <v>18</v>
      </c>
      <c r="N774" t="s">
        <v>18</v>
      </c>
      <c r="O774" t="s">
        <v>18</v>
      </c>
      <c r="P774">
        <v>-19.95384</v>
      </c>
      <c r="Q774">
        <v>-29.822769999999998</v>
      </c>
      <c r="R774">
        <v>14065000</v>
      </c>
      <c r="S774" t="s">
        <v>18</v>
      </c>
      <c r="T774">
        <v>183930000</v>
      </c>
    </row>
    <row r="775" spans="1:20" x14ac:dyDescent="0.2">
      <c r="A775" t="s">
        <v>134</v>
      </c>
      <c r="B775" t="s">
        <v>64</v>
      </c>
      <c r="C775">
        <v>2007</v>
      </c>
      <c r="D775">
        <v>406422000</v>
      </c>
      <c r="E775">
        <v>41987200</v>
      </c>
      <c r="F775">
        <v>78142000</v>
      </c>
      <c r="G775">
        <v>192344000</v>
      </c>
      <c r="H775">
        <v>282203000</v>
      </c>
      <c r="I775" t="s">
        <v>18</v>
      </c>
      <c r="J775">
        <v>361250000</v>
      </c>
      <c r="K775">
        <v>11158000</v>
      </c>
      <c r="L775" t="s">
        <v>18</v>
      </c>
      <c r="M775" t="s">
        <v>18</v>
      </c>
      <c r="N775" t="s">
        <v>18</v>
      </c>
      <c r="O775" t="s">
        <v>18</v>
      </c>
      <c r="P775">
        <v>17.939150000000001</v>
      </c>
      <c r="Q775">
        <v>12.514699999999999</v>
      </c>
      <c r="R775">
        <v>19719500</v>
      </c>
      <c r="S775" t="s">
        <v>18</v>
      </c>
      <c r="T775">
        <v>360345000</v>
      </c>
    </row>
    <row r="776" spans="1:20" x14ac:dyDescent="0.2">
      <c r="A776" t="s">
        <v>134</v>
      </c>
      <c r="B776" t="s">
        <v>64</v>
      </c>
      <c r="C776">
        <v>2008</v>
      </c>
      <c r="D776">
        <v>444320000</v>
      </c>
      <c r="E776">
        <v>101477800</v>
      </c>
      <c r="F776">
        <v>87750000</v>
      </c>
      <c r="G776">
        <v>50586000</v>
      </c>
      <c r="H776">
        <v>303771000</v>
      </c>
      <c r="I776" t="s">
        <v>18</v>
      </c>
      <c r="J776">
        <v>195500000</v>
      </c>
      <c r="K776">
        <v>20154000</v>
      </c>
      <c r="L776" t="s">
        <v>18</v>
      </c>
      <c r="M776" t="s">
        <v>18</v>
      </c>
      <c r="N776" t="s">
        <v>18</v>
      </c>
      <c r="O776" t="s">
        <v>18</v>
      </c>
      <c r="P776">
        <v>13.69232</v>
      </c>
      <c r="Q776">
        <v>8.9347799999999999</v>
      </c>
      <c r="R776">
        <v>6409000</v>
      </c>
      <c r="S776" t="s">
        <v>18</v>
      </c>
      <c r="T776">
        <v>391521000</v>
      </c>
    </row>
    <row r="777" spans="1:20" x14ac:dyDescent="0.2">
      <c r="A777" t="s">
        <v>134</v>
      </c>
      <c r="B777" t="s">
        <v>64</v>
      </c>
      <c r="C777">
        <v>2009</v>
      </c>
      <c r="D777">
        <v>572539000</v>
      </c>
      <c r="E777">
        <v>139435800</v>
      </c>
      <c r="F777">
        <v>233351000</v>
      </c>
      <c r="G777">
        <v>3078000</v>
      </c>
      <c r="H777">
        <v>308619000</v>
      </c>
      <c r="I777" t="s">
        <v>18</v>
      </c>
      <c r="J777">
        <v>286450000</v>
      </c>
      <c r="K777">
        <v>5854000</v>
      </c>
      <c r="L777" t="s">
        <v>18</v>
      </c>
      <c r="M777">
        <v>43.9787448542614</v>
      </c>
      <c r="N777" t="s">
        <v>18</v>
      </c>
      <c r="O777" t="s">
        <v>18</v>
      </c>
      <c r="P777">
        <v>5.3426200000000001</v>
      </c>
      <c r="Q777">
        <v>2.1231300000000002</v>
      </c>
      <c r="R777">
        <v>19720000</v>
      </c>
      <c r="S777">
        <v>95.205699999999993</v>
      </c>
      <c r="T777">
        <v>541970000</v>
      </c>
    </row>
    <row r="778" spans="1:20" x14ac:dyDescent="0.2">
      <c r="A778" t="s">
        <v>134</v>
      </c>
      <c r="B778" t="s">
        <v>64</v>
      </c>
      <c r="C778">
        <v>2010</v>
      </c>
      <c r="D778">
        <v>609009000</v>
      </c>
      <c r="E778">
        <v>193760000</v>
      </c>
      <c r="F778">
        <v>223762000</v>
      </c>
      <c r="G778">
        <v>8328000</v>
      </c>
      <c r="H778">
        <v>311065000</v>
      </c>
      <c r="I778" t="s">
        <v>18</v>
      </c>
      <c r="J778">
        <v>374000000</v>
      </c>
      <c r="K778">
        <v>4415000</v>
      </c>
      <c r="L778" t="s">
        <v>18</v>
      </c>
      <c r="M778">
        <v>-27.3618132681795</v>
      </c>
      <c r="N778" t="s">
        <v>18</v>
      </c>
      <c r="O778" t="s">
        <v>18</v>
      </c>
      <c r="P778">
        <v>8.0315100000000008</v>
      </c>
      <c r="Q778">
        <v>2.41981</v>
      </c>
      <c r="R778">
        <v>37750000</v>
      </c>
      <c r="S778">
        <v>96.879099999999994</v>
      </c>
      <c r="T778">
        <v>534827000</v>
      </c>
    </row>
    <row r="779" spans="1:20" x14ac:dyDescent="0.2">
      <c r="A779" t="s">
        <v>134</v>
      </c>
      <c r="B779" t="s">
        <v>64</v>
      </c>
      <c r="C779">
        <v>2011</v>
      </c>
      <c r="D779">
        <v>638537000</v>
      </c>
      <c r="E779">
        <v>165618670</v>
      </c>
      <c r="F779">
        <v>125110000</v>
      </c>
      <c r="G779">
        <v>12308000</v>
      </c>
      <c r="H779">
        <v>339289000</v>
      </c>
      <c r="I779" t="s">
        <v>18</v>
      </c>
      <c r="J779">
        <v>419985000</v>
      </c>
      <c r="K779">
        <v>28327000</v>
      </c>
      <c r="L779" t="s">
        <v>18</v>
      </c>
      <c r="M779">
        <v>19.953158652044898</v>
      </c>
      <c r="N779" t="s">
        <v>18</v>
      </c>
      <c r="O779" t="s">
        <v>18</v>
      </c>
      <c r="P779">
        <v>16.037500000000001</v>
      </c>
      <c r="Q779">
        <v>9.7333200000000009</v>
      </c>
      <c r="R779">
        <v>57750000</v>
      </c>
      <c r="S779">
        <v>97.469099999999997</v>
      </c>
      <c r="T779">
        <v>464399000</v>
      </c>
    </row>
    <row r="780" spans="1:20" x14ac:dyDescent="0.2">
      <c r="A780" t="s">
        <v>134</v>
      </c>
      <c r="B780" t="s">
        <v>64</v>
      </c>
      <c r="C780">
        <v>2012</v>
      </c>
      <c r="D780">
        <v>623444000</v>
      </c>
      <c r="E780">
        <v>132000000</v>
      </c>
      <c r="F780">
        <v>74114000</v>
      </c>
      <c r="G780">
        <v>1731000</v>
      </c>
      <c r="H780">
        <v>353929000</v>
      </c>
      <c r="I780" t="s">
        <v>18</v>
      </c>
      <c r="J780">
        <v>390065000</v>
      </c>
      <c r="K780">
        <v>30180000</v>
      </c>
      <c r="L780" t="s">
        <v>18</v>
      </c>
      <c r="M780">
        <v>-19.4213225563593</v>
      </c>
      <c r="N780" t="s">
        <v>18</v>
      </c>
      <c r="O780" t="s">
        <v>18</v>
      </c>
      <c r="P780">
        <v>14.21663</v>
      </c>
      <c r="Q780">
        <v>8.85642</v>
      </c>
      <c r="R780">
        <v>64200000</v>
      </c>
      <c r="S780">
        <v>97.551900000000003</v>
      </c>
      <c r="T780">
        <v>428043000</v>
      </c>
    </row>
    <row r="781" spans="1:20" x14ac:dyDescent="0.2">
      <c r="A781" t="s">
        <v>134</v>
      </c>
      <c r="B781" t="s">
        <v>64</v>
      </c>
      <c r="C781">
        <v>2013</v>
      </c>
      <c r="D781">
        <v>598947000</v>
      </c>
      <c r="E781">
        <v>84450000</v>
      </c>
      <c r="F781">
        <v>90951000</v>
      </c>
      <c r="G781">
        <v>8044000</v>
      </c>
      <c r="H781">
        <v>389705000</v>
      </c>
      <c r="I781">
        <v>0.87917737789203099</v>
      </c>
      <c r="J781">
        <v>610750000</v>
      </c>
      <c r="K781">
        <v>57175000</v>
      </c>
      <c r="L781">
        <v>6.5009828280881896</v>
      </c>
      <c r="M781">
        <v>-40.318046362547399</v>
      </c>
      <c r="N781" t="s">
        <v>18</v>
      </c>
      <c r="O781" t="s">
        <v>18</v>
      </c>
      <c r="P781">
        <v>17.173089999999998</v>
      </c>
      <c r="Q781">
        <v>12.53102</v>
      </c>
      <c r="R781">
        <v>55160000</v>
      </c>
      <c r="S781">
        <v>98.071399999999997</v>
      </c>
      <c r="T781">
        <v>480656000</v>
      </c>
    </row>
    <row r="782" spans="1:20" x14ac:dyDescent="0.2">
      <c r="A782" t="s">
        <v>134</v>
      </c>
      <c r="B782" t="s">
        <v>64</v>
      </c>
      <c r="C782">
        <v>2014</v>
      </c>
      <c r="D782">
        <v>666305000</v>
      </c>
      <c r="E782">
        <v>174450000</v>
      </c>
      <c r="F782">
        <v>148544000</v>
      </c>
      <c r="G782">
        <v>13870000</v>
      </c>
      <c r="H782">
        <v>395344000</v>
      </c>
      <c r="I782">
        <v>4.8859863931724901</v>
      </c>
      <c r="J782">
        <v>326664000</v>
      </c>
      <c r="K782">
        <v>12006000</v>
      </c>
      <c r="L782" t="s">
        <v>18</v>
      </c>
      <c r="M782">
        <v>-36.058567486769597</v>
      </c>
      <c r="N782" t="s">
        <v>18</v>
      </c>
      <c r="O782" t="s">
        <v>18</v>
      </c>
      <c r="P782">
        <v>7.9183899999999996</v>
      </c>
      <c r="Q782">
        <v>3.6309200000000001</v>
      </c>
      <c r="R782">
        <v>-4550000</v>
      </c>
      <c r="S782">
        <v>0</v>
      </c>
      <c r="T782">
        <v>543888000</v>
      </c>
    </row>
    <row r="783" spans="1:20" x14ac:dyDescent="0.2">
      <c r="A783" t="s">
        <v>134</v>
      </c>
      <c r="B783" t="s">
        <v>64</v>
      </c>
      <c r="C783">
        <v>2015</v>
      </c>
      <c r="D783">
        <v>643914000</v>
      </c>
      <c r="E783">
        <v>116533330</v>
      </c>
      <c r="F783">
        <v>159866000</v>
      </c>
      <c r="G783">
        <v>9718000</v>
      </c>
      <c r="H783">
        <v>331660000</v>
      </c>
      <c r="I783">
        <v>0.82285780495655003</v>
      </c>
      <c r="J783">
        <v>484761000</v>
      </c>
      <c r="K783">
        <v>-58043000</v>
      </c>
      <c r="L783">
        <v>1.23012898292321</v>
      </c>
      <c r="M783">
        <v>-1.3396748106033201</v>
      </c>
      <c r="N783" t="s">
        <v>18</v>
      </c>
      <c r="O783">
        <v>-36.780882538879801</v>
      </c>
      <c r="P783">
        <v>-0.44090000000000001</v>
      </c>
      <c r="Q783">
        <v>-4.8426900000000002</v>
      </c>
      <c r="R783">
        <v>52430000</v>
      </c>
      <c r="S783">
        <v>0</v>
      </c>
      <c r="T783">
        <v>491526000</v>
      </c>
    </row>
    <row r="784" spans="1:20" x14ac:dyDescent="0.2">
      <c r="A784" t="s">
        <v>134</v>
      </c>
      <c r="B784" t="s">
        <v>64</v>
      </c>
      <c r="C784">
        <v>2016</v>
      </c>
      <c r="D784">
        <v>591476000</v>
      </c>
      <c r="E784">
        <v>52400000</v>
      </c>
      <c r="F784">
        <v>73709000</v>
      </c>
      <c r="G784">
        <v>8031000</v>
      </c>
      <c r="H784">
        <v>367215000</v>
      </c>
      <c r="I784">
        <v>0.50425513385135001</v>
      </c>
      <c r="J784">
        <v>403793000</v>
      </c>
      <c r="K784">
        <v>42647000</v>
      </c>
      <c r="L784">
        <v>7.6843722136863803</v>
      </c>
      <c r="M784">
        <v>-4.8942741353444701</v>
      </c>
      <c r="N784" t="s">
        <v>18</v>
      </c>
      <c r="O784" t="s">
        <v>18</v>
      </c>
      <c r="P784">
        <v>14.950419999999999</v>
      </c>
      <c r="Q784">
        <v>9.5936599999999999</v>
      </c>
      <c r="R784">
        <v>58466670</v>
      </c>
      <c r="S784">
        <v>67.094499999999996</v>
      </c>
      <c r="T784">
        <v>440924000</v>
      </c>
    </row>
    <row r="785" spans="1:20" x14ac:dyDescent="0.2">
      <c r="A785" t="s">
        <v>134</v>
      </c>
      <c r="B785" t="s">
        <v>64</v>
      </c>
      <c r="C785">
        <v>2017</v>
      </c>
      <c r="D785">
        <v>597920000</v>
      </c>
      <c r="E785">
        <v>500000</v>
      </c>
      <c r="F785">
        <v>23284000</v>
      </c>
      <c r="G785">
        <v>13999000</v>
      </c>
      <c r="H785">
        <v>425777000</v>
      </c>
      <c r="I785" t="s">
        <v>18</v>
      </c>
      <c r="J785">
        <v>732027500</v>
      </c>
      <c r="K785">
        <v>68779000</v>
      </c>
      <c r="L785">
        <v>4.6742386655650003</v>
      </c>
      <c r="M785">
        <v>2.1784081885642701</v>
      </c>
      <c r="N785" t="s">
        <v>18</v>
      </c>
      <c r="O785" t="s">
        <v>18</v>
      </c>
      <c r="P785">
        <v>16.521149999999999</v>
      </c>
      <c r="Q785">
        <v>11.75886</v>
      </c>
      <c r="R785">
        <v>77533330</v>
      </c>
      <c r="S785">
        <v>67.068399999999997</v>
      </c>
      <c r="T785">
        <v>449061000</v>
      </c>
    </row>
    <row r="786" spans="1:20" x14ac:dyDescent="0.2">
      <c r="A786" t="s">
        <v>134</v>
      </c>
      <c r="B786" t="s">
        <v>64</v>
      </c>
      <c r="C786">
        <v>2018</v>
      </c>
      <c r="D786">
        <v>592293000</v>
      </c>
      <c r="E786">
        <v>-59500000</v>
      </c>
      <c r="F786">
        <v>0</v>
      </c>
      <c r="G786">
        <v>36874000</v>
      </c>
      <c r="H786">
        <v>445678000</v>
      </c>
      <c r="I786">
        <v>-1.07207207207207</v>
      </c>
      <c r="J786">
        <v>328932500</v>
      </c>
      <c r="K786">
        <v>50809000</v>
      </c>
      <c r="L786">
        <v>17.328018676922401</v>
      </c>
      <c r="M786">
        <v>11.9231539232402</v>
      </c>
      <c r="N786" t="s">
        <v>18</v>
      </c>
      <c r="O786" t="s">
        <v>18</v>
      </c>
      <c r="P786">
        <v>12.56527</v>
      </c>
      <c r="Q786">
        <v>8.1611100000000008</v>
      </c>
      <c r="R786">
        <v>30933330</v>
      </c>
      <c r="S786">
        <v>66.785899999999998</v>
      </c>
      <c r="T786">
        <v>445678000</v>
      </c>
    </row>
    <row r="787" spans="1:20" x14ac:dyDescent="0.2">
      <c r="A787" t="s">
        <v>134</v>
      </c>
      <c r="B787" t="s">
        <v>64</v>
      </c>
      <c r="C787">
        <v>2019</v>
      </c>
      <c r="D787">
        <v>585748000</v>
      </c>
      <c r="E787" t="s">
        <v>18</v>
      </c>
      <c r="F787">
        <v>0</v>
      </c>
      <c r="G787">
        <v>2813000</v>
      </c>
      <c r="H787">
        <v>448711000</v>
      </c>
      <c r="I787" t="s">
        <v>18</v>
      </c>
      <c r="J787">
        <v>728537500</v>
      </c>
      <c r="K787">
        <v>21263000</v>
      </c>
      <c r="L787">
        <v>3.3840691380504802</v>
      </c>
      <c r="M787">
        <v>-6.1722936717921701</v>
      </c>
      <c r="N787" t="s">
        <v>18</v>
      </c>
      <c r="O787" t="s">
        <v>18</v>
      </c>
      <c r="P787">
        <v>9.2409300000000005</v>
      </c>
      <c r="Q787">
        <v>4.1976000000000004</v>
      </c>
      <c r="R787">
        <v>77473330</v>
      </c>
      <c r="S787">
        <v>64.603399999999993</v>
      </c>
      <c r="T787">
        <v>448711000</v>
      </c>
    </row>
    <row r="788" spans="1:20" x14ac:dyDescent="0.2">
      <c r="A788" t="s">
        <v>134</v>
      </c>
      <c r="B788" t="s">
        <v>64</v>
      </c>
      <c r="C788">
        <v>2020</v>
      </c>
      <c r="D788">
        <v>669628000</v>
      </c>
      <c r="E788" t="s">
        <v>18</v>
      </c>
      <c r="F788">
        <v>9542000</v>
      </c>
      <c r="G788">
        <v>13359000</v>
      </c>
      <c r="H788">
        <v>502881000</v>
      </c>
      <c r="I788" t="s">
        <v>18</v>
      </c>
      <c r="J788">
        <v>1211030000</v>
      </c>
      <c r="K788">
        <v>74551000</v>
      </c>
      <c r="L788">
        <v>5.4461058915730698</v>
      </c>
      <c r="M788">
        <v>-1.13298270764978</v>
      </c>
      <c r="N788" t="s">
        <v>18</v>
      </c>
      <c r="O788">
        <v>0.38816758131441598</v>
      </c>
      <c r="P788">
        <v>16.608450000000001</v>
      </c>
      <c r="Q788">
        <v>11.91014</v>
      </c>
      <c r="R788">
        <v>141043330</v>
      </c>
      <c r="S788">
        <v>66.975800000000007</v>
      </c>
      <c r="T788">
        <v>512423000</v>
      </c>
    </row>
    <row r="789" spans="1:20" x14ac:dyDescent="0.2">
      <c r="A789" t="s">
        <v>134</v>
      </c>
      <c r="B789" t="s">
        <v>64</v>
      </c>
      <c r="C789">
        <v>2021</v>
      </c>
      <c r="D789">
        <v>742433000</v>
      </c>
      <c r="E789" t="s">
        <v>18</v>
      </c>
      <c r="F789">
        <v>10055000</v>
      </c>
      <c r="G789">
        <v>6011000</v>
      </c>
      <c r="H789">
        <v>566146000</v>
      </c>
      <c r="I789" t="s">
        <v>18</v>
      </c>
      <c r="J789">
        <v>1022570000</v>
      </c>
      <c r="K789">
        <v>84916000</v>
      </c>
      <c r="L789">
        <v>14.434539125064299</v>
      </c>
      <c r="M789">
        <v>11.3637717786042</v>
      </c>
      <c r="N789">
        <v>46.461099148482504</v>
      </c>
      <c r="O789">
        <v>38.749176176766397</v>
      </c>
      <c r="P789">
        <v>19.04945</v>
      </c>
      <c r="Q789">
        <v>14.083629999999999</v>
      </c>
      <c r="R789">
        <v>86516670</v>
      </c>
      <c r="S789">
        <v>67.277500000000003</v>
      </c>
      <c r="T789">
        <v>576201000</v>
      </c>
    </row>
    <row r="790" spans="1:20" x14ac:dyDescent="0.2">
      <c r="A790" t="s">
        <v>134</v>
      </c>
      <c r="B790" t="s">
        <v>64</v>
      </c>
      <c r="C790">
        <v>2022</v>
      </c>
      <c r="D790">
        <v>982746000</v>
      </c>
      <c r="E790" t="s">
        <v>18</v>
      </c>
      <c r="F790">
        <v>11533000</v>
      </c>
      <c r="G790">
        <v>31484000</v>
      </c>
      <c r="H790">
        <v>696419000</v>
      </c>
      <c r="I790" t="s">
        <v>18</v>
      </c>
      <c r="J790">
        <v>1280830000</v>
      </c>
      <c r="K790">
        <v>89400000</v>
      </c>
      <c r="L790">
        <v>0.65723915929601995</v>
      </c>
      <c r="M790">
        <v>17.379279273027699</v>
      </c>
      <c r="N790">
        <v>50.156980403920301</v>
      </c>
      <c r="O790">
        <v>7.2678481578799997E-2</v>
      </c>
      <c r="P790">
        <v>14.82306</v>
      </c>
      <c r="Q790">
        <v>10.93277</v>
      </c>
      <c r="R790">
        <v>224500000</v>
      </c>
      <c r="S790">
        <v>67.515199999999993</v>
      </c>
      <c r="T790">
        <v>707952000</v>
      </c>
    </row>
    <row r="791" spans="1:20" x14ac:dyDescent="0.2">
      <c r="A791" t="s">
        <v>134</v>
      </c>
      <c r="B791" t="s">
        <v>64</v>
      </c>
      <c r="C791">
        <v>2023</v>
      </c>
      <c r="D791">
        <v>1046870000</v>
      </c>
      <c r="E791">
        <v>-305500000</v>
      </c>
      <c r="F791">
        <v>15650000</v>
      </c>
      <c r="G791">
        <v>12620000</v>
      </c>
      <c r="H791">
        <v>783750000</v>
      </c>
      <c r="I791">
        <v>-2.3951801350522501</v>
      </c>
      <c r="J791">
        <v>623837500</v>
      </c>
      <c r="K791">
        <v>196556000</v>
      </c>
      <c r="L791">
        <v>2.9786280805130998</v>
      </c>
      <c r="M791">
        <v>19.147598017908699</v>
      </c>
      <c r="N791">
        <v>44.4955570961231</v>
      </c>
      <c r="O791">
        <v>183.716045955411</v>
      </c>
      <c r="P791">
        <v>18.671240000000001</v>
      </c>
      <c r="Q791">
        <v>15.783530000000001</v>
      </c>
      <c r="R791">
        <v>91325000</v>
      </c>
      <c r="S791">
        <v>67.827100000000002</v>
      </c>
      <c r="T791">
        <v>799400000</v>
      </c>
    </row>
    <row r="792" spans="1:20" x14ac:dyDescent="0.2">
      <c r="A792" t="s">
        <v>134</v>
      </c>
      <c r="B792" t="s">
        <v>64</v>
      </c>
      <c r="C792">
        <v>2024</v>
      </c>
      <c r="D792">
        <v>1046870000</v>
      </c>
      <c r="E792">
        <v>-347000000</v>
      </c>
      <c r="F792">
        <v>15650000</v>
      </c>
      <c r="G792">
        <v>12620000</v>
      </c>
      <c r="H792">
        <v>783750000</v>
      </c>
      <c r="I792" t="s">
        <v>18</v>
      </c>
      <c r="J792">
        <v>1169150000</v>
      </c>
      <c r="K792">
        <v>196556000</v>
      </c>
      <c r="L792" t="s">
        <v>18</v>
      </c>
      <c r="M792">
        <v>19.147598017908699</v>
      </c>
      <c r="N792">
        <v>50.302962572878499</v>
      </c>
      <c r="O792" t="s">
        <v>18</v>
      </c>
      <c r="P792">
        <v>18.671240000000001</v>
      </c>
      <c r="Q792">
        <v>15.783530000000001</v>
      </c>
      <c r="R792">
        <v>60750000</v>
      </c>
      <c r="S792">
        <v>67.827100000000002</v>
      </c>
      <c r="T792">
        <v>799400000</v>
      </c>
    </row>
    <row r="793" spans="1:20" x14ac:dyDescent="0.2">
      <c r="A793" t="s">
        <v>134</v>
      </c>
      <c r="B793" t="s">
        <v>64</v>
      </c>
      <c r="C793">
        <v>2025</v>
      </c>
      <c r="D793" t="s">
        <v>18</v>
      </c>
      <c r="E793">
        <v>-347000000</v>
      </c>
      <c r="F793" t="s">
        <v>18</v>
      </c>
      <c r="G793" t="s">
        <v>18</v>
      </c>
      <c r="H793" t="s">
        <v>18</v>
      </c>
      <c r="I793" t="s">
        <v>18</v>
      </c>
      <c r="J793">
        <v>1194452500</v>
      </c>
      <c r="K793" t="s">
        <v>18</v>
      </c>
      <c r="L793" t="s">
        <v>18</v>
      </c>
      <c r="M793" t="s">
        <v>18</v>
      </c>
      <c r="N793">
        <v>50.302962572878499</v>
      </c>
      <c r="O793" t="s">
        <v>18</v>
      </c>
      <c r="P793" t="s">
        <v>18</v>
      </c>
      <c r="Q793" t="s">
        <v>18</v>
      </c>
      <c r="R793">
        <v>60750000</v>
      </c>
      <c r="S793">
        <v>67.827100000000002</v>
      </c>
      <c r="T793" t="s">
        <v>18</v>
      </c>
    </row>
    <row r="794" spans="1:20" x14ac:dyDescent="0.2">
      <c r="A794" t="s">
        <v>135</v>
      </c>
      <c r="B794" t="s">
        <v>65</v>
      </c>
      <c r="C794">
        <v>2004</v>
      </c>
      <c r="D794" t="s">
        <v>18</v>
      </c>
      <c r="E794" t="s">
        <v>18</v>
      </c>
      <c r="F794" t="s">
        <v>18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  <c r="S794" t="s">
        <v>18</v>
      </c>
      <c r="T794" t="s">
        <v>18</v>
      </c>
    </row>
    <row r="795" spans="1:20" x14ac:dyDescent="0.2">
      <c r="A795" t="s">
        <v>135</v>
      </c>
      <c r="B795" t="s">
        <v>65</v>
      </c>
      <c r="C795">
        <v>2005</v>
      </c>
      <c r="D795">
        <v>4325000</v>
      </c>
      <c r="E795" t="s">
        <v>18</v>
      </c>
      <c r="F795">
        <v>0</v>
      </c>
      <c r="G795">
        <v>2002000</v>
      </c>
      <c r="H795">
        <v>-758000</v>
      </c>
      <c r="I795" t="s">
        <v>18</v>
      </c>
      <c r="J795" t="s">
        <v>18</v>
      </c>
      <c r="K795">
        <v>-2459000</v>
      </c>
      <c r="L795" t="s">
        <v>18</v>
      </c>
      <c r="M795" t="s">
        <v>18</v>
      </c>
      <c r="N795" t="s">
        <v>18</v>
      </c>
      <c r="O795" t="s">
        <v>18</v>
      </c>
      <c r="P795">
        <v>-197.03647000000001</v>
      </c>
      <c r="Q795">
        <v>-216.94529</v>
      </c>
      <c r="R795" t="s">
        <v>18</v>
      </c>
      <c r="S795" t="s">
        <v>18</v>
      </c>
      <c r="T795">
        <v>-758000</v>
      </c>
    </row>
    <row r="796" spans="1:20" x14ac:dyDescent="0.2">
      <c r="A796" t="s">
        <v>135</v>
      </c>
      <c r="B796" t="s">
        <v>65</v>
      </c>
      <c r="C796">
        <v>2006</v>
      </c>
      <c r="D796">
        <v>2525000</v>
      </c>
      <c r="E796" t="s">
        <v>18</v>
      </c>
      <c r="F796">
        <v>566000</v>
      </c>
      <c r="G796">
        <v>214000</v>
      </c>
      <c r="H796">
        <v>-5560000</v>
      </c>
      <c r="I796" t="s">
        <v>18</v>
      </c>
      <c r="J796">
        <v>183811589.19979799</v>
      </c>
      <c r="K796">
        <v>-5094000</v>
      </c>
      <c r="L796" t="s">
        <v>18</v>
      </c>
      <c r="M796" t="s">
        <v>18</v>
      </c>
      <c r="N796" t="s">
        <v>18</v>
      </c>
      <c r="O796" t="s">
        <v>18</v>
      </c>
      <c r="P796">
        <v>-110.95599</v>
      </c>
      <c r="Q796">
        <v>-120.09105</v>
      </c>
      <c r="R796" t="s">
        <v>18</v>
      </c>
      <c r="S796" t="s">
        <v>18</v>
      </c>
      <c r="T796">
        <v>-4994000</v>
      </c>
    </row>
    <row r="797" spans="1:20" x14ac:dyDescent="0.2">
      <c r="A797" t="s">
        <v>135</v>
      </c>
      <c r="B797" t="s">
        <v>65</v>
      </c>
      <c r="C797">
        <v>2007</v>
      </c>
      <c r="D797">
        <v>14986000</v>
      </c>
      <c r="E797" t="s">
        <v>18</v>
      </c>
      <c r="F797">
        <v>629000</v>
      </c>
      <c r="G797">
        <v>6249000</v>
      </c>
      <c r="H797">
        <v>5596000</v>
      </c>
      <c r="I797" t="s">
        <v>18</v>
      </c>
      <c r="J797">
        <v>121251468.880575</v>
      </c>
      <c r="K797">
        <v>-4427000</v>
      </c>
      <c r="L797" t="s">
        <v>18</v>
      </c>
      <c r="M797" t="s">
        <v>18</v>
      </c>
      <c r="N797" t="s">
        <v>18</v>
      </c>
      <c r="O797" t="s">
        <v>18</v>
      </c>
      <c r="P797">
        <v>-50.797269999999997</v>
      </c>
      <c r="Q797">
        <v>-57.488610000000001</v>
      </c>
      <c r="R797">
        <v>-4505000</v>
      </c>
      <c r="S797" t="s">
        <v>18</v>
      </c>
      <c r="T797">
        <v>6225000</v>
      </c>
    </row>
    <row r="798" spans="1:20" x14ac:dyDescent="0.2">
      <c r="A798" t="s">
        <v>135</v>
      </c>
      <c r="B798" t="s">
        <v>65</v>
      </c>
      <c r="C798">
        <v>2008</v>
      </c>
      <c r="D798">
        <v>59946000</v>
      </c>
      <c r="E798">
        <v>-44593000</v>
      </c>
      <c r="F798">
        <v>385000</v>
      </c>
      <c r="G798">
        <v>52945000</v>
      </c>
      <c r="H798">
        <v>51912000</v>
      </c>
      <c r="I798" t="s">
        <v>18</v>
      </c>
      <c r="J798">
        <v>41200606.95786</v>
      </c>
      <c r="K798">
        <v>-2525000</v>
      </c>
      <c r="L798" t="s">
        <v>18</v>
      </c>
      <c r="M798" t="s">
        <v>18</v>
      </c>
      <c r="N798" t="s">
        <v>18</v>
      </c>
      <c r="O798" t="s">
        <v>18</v>
      </c>
      <c r="P798">
        <v>-27.593900000000001</v>
      </c>
      <c r="Q798">
        <v>-32.806080000000001</v>
      </c>
      <c r="R798">
        <v>-5016330</v>
      </c>
      <c r="S798" t="s">
        <v>18</v>
      </c>
      <c r="T798">
        <v>52297000</v>
      </c>
    </row>
    <row r="799" spans="1:20" x14ac:dyDescent="0.2">
      <c r="A799" t="s">
        <v>135</v>
      </c>
      <c r="B799" t="s">
        <v>65</v>
      </c>
      <c r="C799">
        <v>2009</v>
      </c>
      <c r="D799">
        <v>54838000</v>
      </c>
      <c r="E799">
        <v>-40787330</v>
      </c>
      <c r="F799">
        <v>118000</v>
      </c>
      <c r="G799">
        <v>45568000</v>
      </c>
      <c r="H799">
        <v>49635000</v>
      </c>
      <c r="I799" t="s">
        <v>18</v>
      </c>
      <c r="J799">
        <v>49497950.441353999</v>
      </c>
      <c r="K799">
        <v>-2355000</v>
      </c>
      <c r="L799" t="s">
        <v>18</v>
      </c>
      <c r="M799" t="s">
        <v>18</v>
      </c>
      <c r="N799" t="s">
        <v>18</v>
      </c>
      <c r="O799" t="s">
        <v>18</v>
      </c>
      <c r="P799">
        <v>-24.598050000000001</v>
      </c>
      <c r="Q799">
        <v>-30.926210000000001</v>
      </c>
      <c r="R799">
        <v>-4624670</v>
      </c>
      <c r="S799" t="s">
        <v>18</v>
      </c>
      <c r="T799">
        <v>49753000</v>
      </c>
    </row>
    <row r="800" spans="1:20" x14ac:dyDescent="0.2">
      <c r="A800" t="s">
        <v>135</v>
      </c>
      <c r="B800" t="s">
        <v>65</v>
      </c>
      <c r="C800">
        <v>2010</v>
      </c>
      <c r="D800">
        <v>50442796</v>
      </c>
      <c r="E800">
        <v>-35785000</v>
      </c>
      <c r="F800">
        <v>0</v>
      </c>
      <c r="G800">
        <v>40544000</v>
      </c>
      <c r="H800">
        <v>45861000</v>
      </c>
      <c r="I800" t="s">
        <v>18</v>
      </c>
      <c r="J800">
        <v>32331026.982390001</v>
      </c>
      <c r="K800">
        <v>-3786000</v>
      </c>
      <c r="L800" t="s">
        <v>18</v>
      </c>
      <c r="M800">
        <v>36.638252582634301</v>
      </c>
      <c r="N800" t="s">
        <v>18</v>
      </c>
      <c r="O800" t="s">
        <v>18</v>
      </c>
      <c r="P800">
        <v>-30.033370000000001</v>
      </c>
      <c r="Q800">
        <v>-38.564219999999999</v>
      </c>
      <c r="R800">
        <v>-4600000</v>
      </c>
      <c r="S800" t="s">
        <v>18</v>
      </c>
      <c r="T800">
        <v>45861000</v>
      </c>
    </row>
    <row r="801" spans="1:20" x14ac:dyDescent="0.2">
      <c r="A801" t="s">
        <v>135</v>
      </c>
      <c r="B801" t="s">
        <v>65</v>
      </c>
      <c r="C801">
        <v>2011</v>
      </c>
      <c r="D801">
        <v>46312403</v>
      </c>
      <c r="E801">
        <v>-29450000</v>
      </c>
      <c r="F801">
        <v>0</v>
      </c>
      <c r="G801">
        <v>33560171</v>
      </c>
      <c r="H801">
        <v>41721409</v>
      </c>
      <c r="I801" t="s">
        <v>18</v>
      </c>
      <c r="J801">
        <v>28611528.716435999</v>
      </c>
      <c r="K801">
        <v>-4123261</v>
      </c>
      <c r="L801" t="s">
        <v>18</v>
      </c>
      <c r="M801">
        <v>46.693647133772203</v>
      </c>
      <c r="N801" t="s">
        <v>18</v>
      </c>
      <c r="O801" t="s">
        <v>18</v>
      </c>
      <c r="P801">
        <v>-26.183109999999999</v>
      </c>
      <c r="Q801">
        <v>-33.835540000000002</v>
      </c>
      <c r="R801">
        <v>-6590000</v>
      </c>
      <c r="S801" t="s">
        <v>18</v>
      </c>
      <c r="T801">
        <v>41721409</v>
      </c>
    </row>
    <row r="802" spans="1:20" x14ac:dyDescent="0.2">
      <c r="A802" t="s">
        <v>135</v>
      </c>
      <c r="B802" t="s">
        <v>65</v>
      </c>
      <c r="C802">
        <v>2012</v>
      </c>
      <c r="D802">
        <v>49537728</v>
      </c>
      <c r="E802">
        <v>-21000000</v>
      </c>
      <c r="F802">
        <v>759390</v>
      </c>
      <c r="G802">
        <v>22443141</v>
      </c>
      <c r="H802">
        <v>36788279</v>
      </c>
      <c r="I802" t="s">
        <v>18</v>
      </c>
      <c r="J802">
        <v>44859737.383552</v>
      </c>
      <c r="K802">
        <v>-6217747</v>
      </c>
      <c r="L802" t="s">
        <v>18</v>
      </c>
      <c r="M802">
        <v>-1.7977862697648499</v>
      </c>
      <c r="N802" t="s">
        <v>18</v>
      </c>
      <c r="O802" t="s">
        <v>18</v>
      </c>
      <c r="P802">
        <v>-23.285609999999998</v>
      </c>
      <c r="Q802">
        <v>-36.064250000000001</v>
      </c>
      <c r="R802">
        <v>-753330</v>
      </c>
      <c r="S802" t="s">
        <v>18</v>
      </c>
      <c r="T802">
        <v>37547669</v>
      </c>
    </row>
    <row r="803" spans="1:20" x14ac:dyDescent="0.2">
      <c r="A803" t="s">
        <v>135</v>
      </c>
      <c r="B803" t="s">
        <v>65</v>
      </c>
      <c r="C803">
        <v>2013</v>
      </c>
      <c r="D803">
        <v>47617442</v>
      </c>
      <c r="E803">
        <v>6000000</v>
      </c>
      <c r="F803">
        <v>371656</v>
      </c>
      <c r="G803">
        <v>22625515</v>
      </c>
      <c r="H803">
        <v>36393794</v>
      </c>
      <c r="I803" t="s">
        <v>18</v>
      </c>
      <c r="J803">
        <v>30716749.551654998</v>
      </c>
      <c r="K803">
        <v>-425589</v>
      </c>
      <c r="L803" t="s">
        <v>18</v>
      </c>
      <c r="M803">
        <v>6.3030058008652201</v>
      </c>
      <c r="N803" t="s">
        <v>18</v>
      </c>
      <c r="O803" t="s">
        <v>18</v>
      </c>
      <c r="P803">
        <v>4.2753899999999998</v>
      </c>
      <c r="Q803">
        <v>-1.45105</v>
      </c>
      <c r="R803">
        <v>-6105000</v>
      </c>
      <c r="S803" t="s">
        <v>18</v>
      </c>
      <c r="T803">
        <v>36765450</v>
      </c>
    </row>
    <row r="804" spans="1:20" x14ac:dyDescent="0.2">
      <c r="A804" t="s">
        <v>135</v>
      </c>
      <c r="B804" t="s">
        <v>65</v>
      </c>
      <c r="C804">
        <v>2014</v>
      </c>
      <c r="D804">
        <v>47649676</v>
      </c>
      <c r="E804">
        <v>-645670</v>
      </c>
      <c r="F804">
        <v>4503192</v>
      </c>
      <c r="G804">
        <v>7142536</v>
      </c>
      <c r="H804">
        <v>29062957</v>
      </c>
      <c r="I804">
        <v>-3.5182329317269101</v>
      </c>
      <c r="J804">
        <v>46500473.367150001</v>
      </c>
      <c r="K804">
        <v>-8911885</v>
      </c>
      <c r="L804">
        <v>14.5083770198639</v>
      </c>
      <c r="M804">
        <v>-18.5061691576031</v>
      </c>
      <c r="N804" t="s">
        <v>18</v>
      </c>
      <c r="O804">
        <v>103.53043478260901</v>
      </c>
      <c r="P804">
        <v>-7.41</v>
      </c>
      <c r="Q804">
        <v>-20.868279999999999</v>
      </c>
      <c r="R804">
        <v>-2527500</v>
      </c>
      <c r="S804" t="s">
        <v>18</v>
      </c>
      <c r="T804">
        <v>33566149</v>
      </c>
    </row>
    <row r="805" spans="1:20" x14ac:dyDescent="0.2">
      <c r="A805" t="s">
        <v>135</v>
      </c>
      <c r="B805" t="s">
        <v>65</v>
      </c>
      <c r="C805">
        <v>2015</v>
      </c>
      <c r="D805">
        <v>47255933</v>
      </c>
      <c r="E805">
        <v>-228000</v>
      </c>
      <c r="F805">
        <v>5194018</v>
      </c>
      <c r="G805">
        <v>6122418</v>
      </c>
      <c r="H805">
        <v>27588933</v>
      </c>
      <c r="I805">
        <v>0.118427500640405</v>
      </c>
      <c r="J805">
        <v>37450105.5568</v>
      </c>
      <c r="K805">
        <v>-4826263</v>
      </c>
      <c r="L805">
        <v>15.592247801190499</v>
      </c>
      <c r="M805">
        <v>-20.920359834757999</v>
      </c>
      <c r="N805" t="s">
        <v>18</v>
      </c>
      <c r="O805">
        <v>-6.3112164296998401</v>
      </c>
      <c r="P805">
        <v>-2.2388400000000002</v>
      </c>
      <c r="Q805">
        <v>-8.0052000000000003</v>
      </c>
      <c r="R805">
        <v>-5680000</v>
      </c>
      <c r="S805" t="s">
        <v>18</v>
      </c>
      <c r="T805">
        <v>32782951</v>
      </c>
    </row>
    <row r="806" spans="1:20" x14ac:dyDescent="0.2">
      <c r="A806" t="s">
        <v>135</v>
      </c>
      <c r="B806" t="s">
        <v>65</v>
      </c>
      <c r="C806">
        <v>2016</v>
      </c>
      <c r="D806">
        <v>35889257</v>
      </c>
      <c r="E806">
        <v>8200000</v>
      </c>
      <c r="F806">
        <v>4304708</v>
      </c>
      <c r="G806">
        <v>3277066</v>
      </c>
      <c r="H806">
        <v>16557810</v>
      </c>
      <c r="I806">
        <v>-2.4117647058823501</v>
      </c>
      <c r="J806">
        <v>19677752.460058998</v>
      </c>
      <c r="K806">
        <v>-10668981</v>
      </c>
      <c r="L806">
        <v>19.856459330143501</v>
      </c>
      <c r="M806">
        <v>-9.4959506969597491</v>
      </c>
      <c r="N806" t="s">
        <v>18</v>
      </c>
      <c r="O806">
        <v>-55.522609340251996</v>
      </c>
      <c r="P806">
        <v>-9.7262199999999996</v>
      </c>
      <c r="Q806">
        <v>-22.3964</v>
      </c>
      <c r="R806">
        <v>-3360500</v>
      </c>
      <c r="S806" t="s">
        <v>18</v>
      </c>
      <c r="T806">
        <v>20862518</v>
      </c>
    </row>
    <row r="807" spans="1:20" x14ac:dyDescent="0.2">
      <c r="A807" t="s">
        <v>135</v>
      </c>
      <c r="B807" t="s">
        <v>65</v>
      </c>
      <c r="C807">
        <v>2017</v>
      </c>
      <c r="D807">
        <v>33792955</v>
      </c>
      <c r="E807">
        <v>7100000</v>
      </c>
      <c r="F807">
        <v>4380721</v>
      </c>
      <c r="G807">
        <v>1756001</v>
      </c>
      <c r="H807">
        <v>13338672</v>
      </c>
      <c r="I807">
        <v>7.8888888888888902</v>
      </c>
      <c r="J807">
        <v>54791587.284906998</v>
      </c>
      <c r="K807">
        <v>-4992731</v>
      </c>
      <c r="L807">
        <v>12.306004307526299</v>
      </c>
      <c r="M807">
        <v>-4.0345072563022102</v>
      </c>
      <c r="N807" t="s">
        <v>18</v>
      </c>
      <c r="O807" t="s">
        <v>18</v>
      </c>
      <c r="P807">
        <v>-6.0141600000000004</v>
      </c>
      <c r="Q807">
        <v>-11.16657</v>
      </c>
      <c r="R807">
        <v>-1560000</v>
      </c>
      <c r="S807" t="s">
        <v>18</v>
      </c>
      <c r="T807">
        <v>17719393</v>
      </c>
    </row>
    <row r="808" spans="1:20" x14ac:dyDescent="0.2">
      <c r="A808" t="s">
        <v>135</v>
      </c>
      <c r="B808" t="s">
        <v>65</v>
      </c>
      <c r="C808">
        <v>2018</v>
      </c>
      <c r="D808">
        <v>34533882</v>
      </c>
      <c r="E808">
        <v>0</v>
      </c>
      <c r="F808">
        <v>9469914</v>
      </c>
      <c r="G808">
        <v>4408398</v>
      </c>
      <c r="H808">
        <v>13894782</v>
      </c>
      <c r="I808">
        <v>0</v>
      </c>
      <c r="J808">
        <v>85276729.571669996</v>
      </c>
      <c r="K808">
        <v>-2072222</v>
      </c>
      <c r="L808">
        <v>20.342317864500401</v>
      </c>
      <c r="M808">
        <v>8.83778398864583</v>
      </c>
      <c r="N808" t="s">
        <v>18</v>
      </c>
      <c r="O808">
        <v>121.327967806841</v>
      </c>
      <c r="P808">
        <v>1.80189</v>
      </c>
      <c r="Q808">
        <v>-1.4155500000000001</v>
      </c>
      <c r="R808">
        <v>995000</v>
      </c>
      <c r="S808" t="s">
        <v>18</v>
      </c>
      <c r="T808">
        <v>23364696</v>
      </c>
    </row>
    <row r="809" spans="1:20" x14ac:dyDescent="0.2">
      <c r="A809" t="s">
        <v>135</v>
      </c>
      <c r="B809" t="s">
        <v>65</v>
      </c>
      <c r="C809">
        <v>2019</v>
      </c>
      <c r="D809">
        <v>42064989</v>
      </c>
      <c r="E809">
        <v>-17100000</v>
      </c>
      <c r="F809">
        <v>8961450</v>
      </c>
      <c r="G809">
        <v>7519689</v>
      </c>
      <c r="H809">
        <v>18204161</v>
      </c>
      <c r="I809">
        <v>-8.9263490059955792</v>
      </c>
      <c r="J809">
        <v>135970921.52385101</v>
      </c>
      <c r="K809">
        <v>-517</v>
      </c>
      <c r="L809">
        <v>21.5029979008381</v>
      </c>
      <c r="M809">
        <v>28.685184080328799</v>
      </c>
      <c r="N809" t="s">
        <v>18</v>
      </c>
      <c r="O809">
        <v>381.61994440733503</v>
      </c>
      <c r="P809">
        <v>4.8229199999999999</v>
      </c>
      <c r="Q809">
        <v>2.95506</v>
      </c>
      <c r="R809">
        <v>-2384670</v>
      </c>
      <c r="S809" t="s">
        <v>18</v>
      </c>
      <c r="T809">
        <v>27165611</v>
      </c>
    </row>
    <row r="810" spans="1:20" x14ac:dyDescent="0.2">
      <c r="A810" t="s">
        <v>135</v>
      </c>
      <c r="B810" t="s">
        <v>65</v>
      </c>
      <c r="C810">
        <v>2020</v>
      </c>
      <c r="D810">
        <v>72858842</v>
      </c>
      <c r="E810">
        <v>-9025000</v>
      </c>
      <c r="F810">
        <v>14545901</v>
      </c>
      <c r="G810">
        <v>20906380</v>
      </c>
      <c r="H810">
        <v>40260269</v>
      </c>
      <c r="I810">
        <v>-23.193542344306099</v>
      </c>
      <c r="J810">
        <v>221097638.921904</v>
      </c>
      <c r="K810">
        <v>-1927114</v>
      </c>
      <c r="L810">
        <v>38.066300997823497</v>
      </c>
      <c r="M810">
        <v>42.266671219001701</v>
      </c>
      <c r="N810" t="s">
        <v>18</v>
      </c>
      <c r="O810">
        <v>-9.8286744815148808</v>
      </c>
      <c r="P810">
        <v>3.3186399999999998</v>
      </c>
      <c r="Q810">
        <v>-2.3698199999999998</v>
      </c>
      <c r="R810">
        <v>-3952000</v>
      </c>
      <c r="S810" t="s">
        <v>18</v>
      </c>
      <c r="T810">
        <v>54806170</v>
      </c>
    </row>
    <row r="811" spans="1:20" x14ac:dyDescent="0.2">
      <c r="A811" t="s">
        <v>135</v>
      </c>
      <c r="B811" t="s">
        <v>65</v>
      </c>
      <c r="C811">
        <v>2021</v>
      </c>
      <c r="D811">
        <v>86329691</v>
      </c>
      <c r="E811">
        <v>-15950000</v>
      </c>
      <c r="F811">
        <v>12450439</v>
      </c>
      <c r="G811">
        <v>31464099</v>
      </c>
      <c r="H811">
        <v>54837963</v>
      </c>
      <c r="I811" t="s">
        <v>18</v>
      </c>
      <c r="J811">
        <v>426133875.29940802</v>
      </c>
      <c r="K811">
        <v>-5184054</v>
      </c>
      <c r="L811">
        <v>31.286395620184098</v>
      </c>
      <c r="M811">
        <v>25.972354234467499</v>
      </c>
      <c r="N811" t="s">
        <v>18</v>
      </c>
      <c r="O811" t="s">
        <v>18</v>
      </c>
      <c r="P811">
        <v>-1.1678299999999999</v>
      </c>
      <c r="Q811">
        <v>-7.77339</v>
      </c>
      <c r="R811">
        <v>-2000000</v>
      </c>
      <c r="S811" t="s">
        <v>18</v>
      </c>
      <c r="T811">
        <v>67288402</v>
      </c>
    </row>
    <row r="812" spans="1:20" x14ac:dyDescent="0.2">
      <c r="A812" t="s">
        <v>135</v>
      </c>
      <c r="B812" t="s">
        <v>65</v>
      </c>
      <c r="C812">
        <v>2022</v>
      </c>
      <c r="D812">
        <v>87365242</v>
      </c>
      <c r="E812">
        <v>-57733330</v>
      </c>
      <c r="F812">
        <v>9485551</v>
      </c>
      <c r="G812">
        <v>24622648</v>
      </c>
      <c r="H812">
        <v>50018854</v>
      </c>
      <c r="I812">
        <v>-5.1948077894804703</v>
      </c>
      <c r="J812">
        <v>410651292.14999998</v>
      </c>
      <c r="K812">
        <v>-5829458</v>
      </c>
      <c r="L812">
        <v>40.990958549452202</v>
      </c>
      <c r="M812">
        <v>32.675051958149197</v>
      </c>
      <c r="N812" t="s">
        <v>18</v>
      </c>
      <c r="O812">
        <v>417.390324887117</v>
      </c>
      <c r="P812">
        <v>1.5241499999999999</v>
      </c>
      <c r="Q812">
        <v>-5.1743100000000002</v>
      </c>
      <c r="R812">
        <v>5283000</v>
      </c>
      <c r="S812" t="s">
        <v>18</v>
      </c>
      <c r="T812">
        <v>59504405</v>
      </c>
    </row>
    <row r="813" spans="1:20" x14ac:dyDescent="0.2">
      <c r="A813" t="s">
        <v>135</v>
      </c>
      <c r="B813" t="s">
        <v>65</v>
      </c>
      <c r="C813">
        <v>2023</v>
      </c>
      <c r="D813">
        <v>145186735</v>
      </c>
      <c r="E813">
        <v>-44200000</v>
      </c>
      <c r="F813">
        <v>14615917</v>
      </c>
      <c r="G813">
        <v>64802825</v>
      </c>
      <c r="H813">
        <v>103437118</v>
      </c>
      <c r="I813">
        <v>-3.1703409252523</v>
      </c>
      <c r="J813">
        <v>368978433.75</v>
      </c>
      <c r="K813">
        <v>1067104</v>
      </c>
      <c r="L813">
        <v>29.4051017966977</v>
      </c>
      <c r="M813">
        <v>31.135551573232998</v>
      </c>
      <c r="N813">
        <v>21.614577166161599</v>
      </c>
      <c r="O813">
        <v>278.14759934391998</v>
      </c>
      <c r="P813">
        <v>10.68784</v>
      </c>
      <c r="Q813">
        <v>4.2910500000000003</v>
      </c>
      <c r="R813">
        <v>7532800</v>
      </c>
      <c r="S813" t="s">
        <v>18</v>
      </c>
      <c r="T813">
        <v>118053035</v>
      </c>
    </row>
    <row r="814" spans="1:20" x14ac:dyDescent="0.2">
      <c r="A814" t="s">
        <v>135</v>
      </c>
      <c r="B814" t="s">
        <v>65</v>
      </c>
      <c r="C814">
        <v>2024</v>
      </c>
      <c r="D814">
        <v>176399257</v>
      </c>
      <c r="E814">
        <v>-44600000</v>
      </c>
      <c r="F814">
        <v>16354315</v>
      </c>
      <c r="G814">
        <v>59847494</v>
      </c>
      <c r="H814">
        <v>128162225</v>
      </c>
      <c r="I814">
        <v>-2.0546434477811699</v>
      </c>
      <c r="J814">
        <v>289626365.88</v>
      </c>
      <c r="K814">
        <v>21062229</v>
      </c>
      <c r="L814">
        <v>21.439512308958001</v>
      </c>
      <c r="M814">
        <v>22.126271799119301</v>
      </c>
      <c r="N814">
        <v>19.069243756482699</v>
      </c>
      <c r="O814">
        <v>345.829488053999</v>
      </c>
      <c r="P814">
        <v>12.93712</v>
      </c>
      <c r="Q814">
        <v>8.8343500000000006</v>
      </c>
      <c r="R814">
        <v>13167500</v>
      </c>
      <c r="S814" t="s">
        <v>18</v>
      </c>
      <c r="T814">
        <v>144487531</v>
      </c>
    </row>
    <row r="815" spans="1:20" x14ac:dyDescent="0.2">
      <c r="A815" t="s">
        <v>135</v>
      </c>
      <c r="B815" t="s">
        <v>65</v>
      </c>
      <c r="C815">
        <v>2025</v>
      </c>
      <c r="D815">
        <v>194129441</v>
      </c>
      <c r="E815">
        <v>-45575000</v>
      </c>
      <c r="F815">
        <v>18142514</v>
      </c>
      <c r="G815">
        <v>60494360</v>
      </c>
      <c r="H815">
        <v>139281438</v>
      </c>
      <c r="I815">
        <v>-3.1013293013820702</v>
      </c>
      <c r="J815">
        <v>214490066.94</v>
      </c>
      <c r="K815">
        <v>9354721</v>
      </c>
      <c r="L815">
        <v>6.44535394772792</v>
      </c>
      <c r="M815">
        <v>19.961471411937001</v>
      </c>
      <c r="N815">
        <v>24.854198601143299</v>
      </c>
      <c r="O815">
        <v>35.239763195174604</v>
      </c>
      <c r="P815">
        <v>14.82091</v>
      </c>
      <c r="Q815">
        <v>10.46449</v>
      </c>
      <c r="R815">
        <v>5274800</v>
      </c>
      <c r="S815" t="s">
        <v>18</v>
      </c>
      <c r="T815">
        <v>157360124</v>
      </c>
    </row>
    <row r="816" spans="1:20" x14ac:dyDescent="0.2">
      <c r="A816" t="s">
        <v>102</v>
      </c>
      <c r="B816" t="s">
        <v>66</v>
      </c>
      <c r="C816">
        <v>2004</v>
      </c>
      <c r="D816">
        <v>938816648</v>
      </c>
      <c r="E816">
        <v>184893076.5</v>
      </c>
      <c r="F816">
        <v>194500944</v>
      </c>
      <c r="G816">
        <v>55458194</v>
      </c>
      <c r="H816">
        <v>414347395</v>
      </c>
      <c r="I816" t="s">
        <v>18</v>
      </c>
      <c r="J816">
        <v>1013205869.04603</v>
      </c>
      <c r="K816">
        <v>11327128.1972603</v>
      </c>
      <c r="L816" t="s">
        <v>18</v>
      </c>
      <c r="M816">
        <v>18.254138431828199</v>
      </c>
      <c r="N816" t="s">
        <v>18</v>
      </c>
      <c r="O816" t="s">
        <v>18</v>
      </c>
      <c r="P816">
        <v>9.1260999999999992</v>
      </c>
      <c r="Q816">
        <v>5.9237500000000001</v>
      </c>
      <c r="R816">
        <v>73639283.246099994</v>
      </c>
      <c r="S816" t="s">
        <v>18</v>
      </c>
      <c r="T816">
        <v>623706050</v>
      </c>
    </row>
    <row r="817" spans="1:20" x14ac:dyDescent="0.2">
      <c r="A817" t="s">
        <v>102</v>
      </c>
      <c r="B817" t="s">
        <v>66</v>
      </c>
      <c r="C817">
        <v>2005</v>
      </c>
      <c r="D817">
        <v>1147658920</v>
      </c>
      <c r="E817">
        <v>253253787.15000001</v>
      </c>
      <c r="F817">
        <v>313983549</v>
      </c>
      <c r="G817">
        <v>52662498</v>
      </c>
      <c r="H817">
        <v>390838343</v>
      </c>
      <c r="I817" t="s">
        <v>18</v>
      </c>
      <c r="J817">
        <v>1544402503.4263899</v>
      </c>
      <c r="K817">
        <v>31714878.213114802</v>
      </c>
      <c r="L817" t="s">
        <v>18</v>
      </c>
      <c r="M817">
        <v>9.7746449271360891</v>
      </c>
      <c r="N817">
        <v>13.884962618992001</v>
      </c>
      <c r="O817" t="s">
        <v>18</v>
      </c>
      <c r="P817">
        <v>6.9533699999999996</v>
      </c>
      <c r="Q817">
        <v>4.8861499999999998</v>
      </c>
      <c r="R817" t="s">
        <v>18</v>
      </c>
      <c r="S817" t="s">
        <v>18</v>
      </c>
      <c r="T817">
        <v>713672732</v>
      </c>
    </row>
    <row r="818" spans="1:20" x14ac:dyDescent="0.2">
      <c r="A818" t="s">
        <v>102</v>
      </c>
      <c r="B818" t="s">
        <v>66</v>
      </c>
      <c r="C818">
        <v>2006</v>
      </c>
      <c r="D818">
        <v>1446613752</v>
      </c>
      <c r="E818">
        <v>243346576.7103</v>
      </c>
      <c r="F818">
        <v>334204263</v>
      </c>
      <c r="G818">
        <v>126604041</v>
      </c>
      <c r="H818">
        <v>575419167</v>
      </c>
      <c r="I818" t="s">
        <v>18</v>
      </c>
      <c r="J818">
        <v>1796327154.0746801</v>
      </c>
      <c r="K818">
        <v>67275803.627397299</v>
      </c>
      <c r="L818" t="s">
        <v>18</v>
      </c>
      <c r="M818">
        <v>10.6220572147867</v>
      </c>
      <c r="N818">
        <v>17.648914552939299</v>
      </c>
      <c r="O818" t="s">
        <v>18</v>
      </c>
      <c r="P818">
        <v>7.0205299999999999</v>
      </c>
      <c r="Q818">
        <v>5.2246600000000001</v>
      </c>
      <c r="R818">
        <v>149917504.43000001</v>
      </c>
      <c r="S818" t="s">
        <v>18</v>
      </c>
      <c r="T818">
        <v>926177394</v>
      </c>
    </row>
    <row r="819" spans="1:20" x14ac:dyDescent="0.2">
      <c r="A819" t="s">
        <v>102</v>
      </c>
      <c r="B819" t="s">
        <v>66</v>
      </c>
      <c r="C819">
        <v>2007</v>
      </c>
      <c r="D819">
        <v>1549494107</v>
      </c>
      <c r="E819">
        <v>195343452.78</v>
      </c>
      <c r="F819">
        <v>301759942</v>
      </c>
      <c r="G819">
        <v>106320743</v>
      </c>
      <c r="H819">
        <v>607990963</v>
      </c>
      <c r="I819" t="s">
        <v>18</v>
      </c>
      <c r="J819">
        <v>3026256648.0239501</v>
      </c>
      <c r="K819">
        <v>96542640.328767106</v>
      </c>
      <c r="L819" t="s">
        <v>18</v>
      </c>
      <c r="M819">
        <v>11.0498507293111</v>
      </c>
      <c r="N819">
        <v>18.840795427482799</v>
      </c>
      <c r="O819" t="s">
        <v>18</v>
      </c>
      <c r="P819">
        <v>7.6424099999999999</v>
      </c>
      <c r="Q819">
        <v>5.9415399999999998</v>
      </c>
      <c r="R819">
        <v>198946814.02610001</v>
      </c>
      <c r="S819" t="s">
        <v>18</v>
      </c>
      <c r="T819">
        <v>915586042</v>
      </c>
    </row>
    <row r="820" spans="1:20" x14ac:dyDescent="0.2">
      <c r="A820" t="s">
        <v>102</v>
      </c>
      <c r="B820" t="s">
        <v>66</v>
      </c>
      <c r="C820">
        <v>2008</v>
      </c>
      <c r="D820">
        <v>1693404225</v>
      </c>
      <c r="E820">
        <v>233800028.48159999</v>
      </c>
      <c r="F820">
        <v>270752750</v>
      </c>
      <c r="G820">
        <v>67722460</v>
      </c>
      <c r="H820">
        <v>668039570</v>
      </c>
      <c r="I820" t="s">
        <v>18</v>
      </c>
      <c r="J820">
        <v>1198433178.70578</v>
      </c>
      <c r="K820">
        <v>42293380.191780798</v>
      </c>
      <c r="L820" t="s">
        <v>18</v>
      </c>
      <c r="M820">
        <v>-2.6484198040353699</v>
      </c>
      <c r="N820">
        <v>32.054687761068799</v>
      </c>
      <c r="O820" t="s">
        <v>18</v>
      </c>
      <c r="P820">
        <v>8.5433299999999992</v>
      </c>
      <c r="Q820">
        <v>6.9438500000000003</v>
      </c>
      <c r="R820">
        <v>334301246.86680001</v>
      </c>
      <c r="S820" t="s">
        <v>18</v>
      </c>
      <c r="T820">
        <v>946537905</v>
      </c>
    </row>
    <row r="821" spans="1:20" x14ac:dyDescent="0.2">
      <c r="A821" t="s">
        <v>102</v>
      </c>
      <c r="B821" t="s">
        <v>66</v>
      </c>
      <c r="C821">
        <v>2009</v>
      </c>
      <c r="D821">
        <v>2004650361</v>
      </c>
      <c r="E821">
        <v>82498005.094999999</v>
      </c>
      <c r="F821">
        <v>303977709</v>
      </c>
      <c r="G821">
        <v>107025336</v>
      </c>
      <c r="H821">
        <v>811203399</v>
      </c>
      <c r="I821" t="s">
        <v>18</v>
      </c>
      <c r="J821">
        <v>1814988698.9203501</v>
      </c>
      <c r="K821">
        <v>85496549.532786906</v>
      </c>
      <c r="L821" t="s">
        <v>18</v>
      </c>
      <c r="M821">
        <v>5.7171066232325698</v>
      </c>
      <c r="N821">
        <v>50.453439193051402</v>
      </c>
      <c r="O821" t="s">
        <v>18</v>
      </c>
      <c r="P821">
        <v>9.8281600000000005</v>
      </c>
      <c r="Q821">
        <v>8.01816</v>
      </c>
      <c r="R821">
        <v>235257114.11000001</v>
      </c>
      <c r="S821">
        <v>0</v>
      </c>
      <c r="T821">
        <v>1124552979</v>
      </c>
    </row>
    <row r="822" spans="1:20" x14ac:dyDescent="0.2">
      <c r="A822" t="s">
        <v>102</v>
      </c>
      <c r="B822" t="s">
        <v>66</v>
      </c>
      <c r="C822">
        <v>2010</v>
      </c>
      <c r="D822">
        <v>1993925340</v>
      </c>
      <c r="E822">
        <v>9465844.8000000007</v>
      </c>
      <c r="F822">
        <v>207111180</v>
      </c>
      <c r="G822">
        <v>121752036</v>
      </c>
      <c r="H822">
        <v>887260104</v>
      </c>
      <c r="I822" t="s">
        <v>18</v>
      </c>
      <c r="J822">
        <v>3136270175.8930702</v>
      </c>
      <c r="K822">
        <v>55942264.783561602</v>
      </c>
      <c r="L822" t="s">
        <v>18</v>
      </c>
      <c r="M822">
        <v>-1.9298247971234599</v>
      </c>
      <c r="N822">
        <v>51.638571308202501</v>
      </c>
      <c r="O822" t="s">
        <v>18</v>
      </c>
      <c r="P822">
        <v>8.4228000000000005</v>
      </c>
      <c r="Q822">
        <v>6.7341800000000003</v>
      </c>
      <c r="R822">
        <v>240751146.43439999</v>
      </c>
      <c r="S822">
        <v>0</v>
      </c>
      <c r="T822">
        <v>1101915300</v>
      </c>
    </row>
    <row r="823" spans="1:20" x14ac:dyDescent="0.2">
      <c r="A823" t="s">
        <v>102</v>
      </c>
      <c r="B823" t="s">
        <v>66</v>
      </c>
      <c r="C823">
        <v>2011</v>
      </c>
      <c r="D823">
        <v>2228072775</v>
      </c>
      <c r="E823">
        <v>-98428006.140000001</v>
      </c>
      <c r="F823">
        <v>145921760</v>
      </c>
      <c r="G823">
        <v>122000160</v>
      </c>
      <c r="H823">
        <v>1051279565</v>
      </c>
      <c r="I823" t="s">
        <v>18</v>
      </c>
      <c r="J823">
        <v>2805087142.7032499</v>
      </c>
      <c r="K823">
        <v>13969785.890411001</v>
      </c>
      <c r="L823" t="s">
        <v>18</v>
      </c>
      <c r="M823">
        <v>1.3068566165098201</v>
      </c>
      <c r="N823">
        <v>51.954817856159401</v>
      </c>
      <c r="O823" t="s">
        <v>18</v>
      </c>
      <c r="P823">
        <v>6.4674100000000001</v>
      </c>
      <c r="Q823">
        <v>4.1345400000000003</v>
      </c>
      <c r="R823">
        <v>241460160.0336</v>
      </c>
      <c r="S823">
        <v>0</v>
      </c>
      <c r="T823">
        <v>1205349620</v>
      </c>
    </row>
    <row r="824" spans="1:20" x14ac:dyDescent="0.2">
      <c r="A824" t="s">
        <v>102</v>
      </c>
      <c r="B824" t="s">
        <v>66</v>
      </c>
      <c r="C824">
        <v>2012</v>
      </c>
      <c r="D824">
        <v>2998072500</v>
      </c>
      <c r="E824">
        <v>-12954456.043199999</v>
      </c>
      <c r="F824">
        <v>178061250</v>
      </c>
      <c r="G824">
        <v>132561000</v>
      </c>
      <c r="H824">
        <v>1517576250</v>
      </c>
      <c r="I824" t="s">
        <v>18</v>
      </c>
      <c r="J824">
        <v>3557136070.0047402</v>
      </c>
      <c r="K824">
        <v>33506537.550684899</v>
      </c>
      <c r="L824" t="s">
        <v>18</v>
      </c>
      <c r="M824">
        <v>3.8814350773516799</v>
      </c>
      <c r="N824">
        <v>46.619836614750099</v>
      </c>
      <c r="O824" t="s">
        <v>18</v>
      </c>
      <c r="P824">
        <v>6.3369099999999996</v>
      </c>
      <c r="Q824">
        <v>4.1151999999999997</v>
      </c>
      <c r="R824">
        <v>318843755.21520001</v>
      </c>
      <c r="S824">
        <v>0</v>
      </c>
      <c r="T824">
        <v>1703362500</v>
      </c>
    </row>
    <row r="825" spans="1:20" x14ac:dyDescent="0.2">
      <c r="A825" t="s">
        <v>102</v>
      </c>
      <c r="B825" t="s">
        <v>66</v>
      </c>
      <c r="C825">
        <v>2013</v>
      </c>
      <c r="D825">
        <v>3153780912</v>
      </c>
      <c r="E825">
        <v>66353470.805100001</v>
      </c>
      <c r="F825">
        <v>247688256</v>
      </c>
      <c r="G825">
        <v>119675568</v>
      </c>
      <c r="H825">
        <v>1687963632</v>
      </c>
      <c r="I825" t="s">
        <v>18</v>
      </c>
      <c r="J825">
        <v>3595511448.4351902</v>
      </c>
      <c r="K825">
        <v>168619036.21584699</v>
      </c>
      <c r="L825" t="s">
        <v>18</v>
      </c>
      <c r="M825">
        <v>6.5553414101810104</v>
      </c>
      <c r="N825">
        <v>60.309338653520797</v>
      </c>
      <c r="O825" t="s">
        <v>18</v>
      </c>
      <c r="P825">
        <v>7.8582599999999996</v>
      </c>
      <c r="Q825">
        <v>5.7449700000000004</v>
      </c>
      <c r="R825">
        <v>342698194.13599998</v>
      </c>
      <c r="S825">
        <v>0</v>
      </c>
      <c r="T825">
        <v>1941866832</v>
      </c>
    </row>
    <row r="826" spans="1:20" x14ac:dyDescent="0.2">
      <c r="A826" t="s">
        <v>102</v>
      </c>
      <c r="B826" t="s">
        <v>66</v>
      </c>
      <c r="C826">
        <v>2014</v>
      </c>
      <c r="D826">
        <v>3149520660</v>
      </c>
      <c r="E826">
        <v>205764096.15090001</v>
      </c>
      <c r="F826">
        <v>342162062</v>
      </c>
      <c r="G826">
        <v>105493300</v>
      </c>
      <c r="H826">
        <v>1751479796</v>
      </c>
      <c r="I826">
        <v>0.46616086988134398</v>
      </c>
      <c r="J826">
        <v>2822088373.14994</v>
      </c>
      <c r="K826">
        <v>197847481.31232899</v>
      </c>
      <c r="L826">
        <v>4.4607028657877201</v>
      </c>
      <c r="M826">
        <v>5.7046909284709901</v>
      </c>
      <c r="N826">
        <v>44.400070518806601</v>
      </c>
      <c r="O826">
        <v>61.757099260315101</v>
      </c>
      <c r="P826">
        <v>8.8316099999999995</v>
      </c>
      <c r="Q826">
        <v>6.2851999999999997</v>
      </c>
      <c r="R826">
        <v>375886986.79140002</v>
      </c>
      <c r="S826">
        <v>0</v>
      </c>
      <c r="T826">
        <v>2100116964</v>
      </c>
    </row>
    <row r="827" spans="1:20" x14ac:dyDescent="0.2">
      <c r="A827" t="s">
        <v>102</v>
      </c>
      <c r="B827" t="s">
        <v>66</v>
      </c>
      <c r="C827">
        <v>2015</v>
      </c>
      <c r="D827">
        <v>3626430885</v>
      </c>
      <c r="E827">
        <v>103654092.98999999</v>
      </c>
      <c r="F827">
        <v>421343505</v>
      </c>
      <c r="G827">
        <v>121186890</v>
      </c>
      <c r="H827">
        <v>2104816230</v>
      </c>
      <c r="I827">
        <v>0.267163831706905</v>
      </c>
      <c r="J827">
        <v>3017696326.0946598</v>
      </c>
      <c r="K827">
        <v>250505112.060274</v>
      </c>
      <c r="L827">
        <v>-6.49223906202353</v>
      </c>
      <c r="M827">
        <v>10.0082101138866</v>
      </c>
      <c r="N827">
        <v>45.082617424973101</v>
      </c>
      <c r="O827">
        <v>55.311259913693597</v>
      </c>
      <c r="P827">
        <v>8.5441400000000005</v>
      </c>
      <c r="Q827">
        <v>6.3354699999999999</v>
      </c>
      <c r="R827">
        <v>347316306.102</v>
      </c>
      <c r="S827">
        <v>0</v>
      </c>
      <c r="T827">
        <v>2536988850</v>
      </c>
    </row>
    <row r="828" spans="1:20" x14ac:dyDescent="0.2">
      <c r="A828" t="s">
        <v>102</v>
      </c>
      <c r="B828" t="s">
        <v>66</v>
      </c>
      <c r="C828">
        <v>2016</v>
      </c>
      <c r="D828">
        <v>4340606259</v>
      </c>
      <c r="E828">
        <v>276169202.54890001</v>
      </c>
      <c r="F828">
        <v>1078913077</v>
      </c>
      <c r="G828">
        <v>727163657</v>
      </c>
      <c r="H828">
        <v>2208378623</v>
      </c>
      <c r="I828">
        <v>0.71588417105327795</v>
      </c>
      <c r="J828">
        <v>3753389608.2376499</v>
      </c>
      <c r="K828">
        <v>46423017.1232877</v>
      </c>
      <c r="L828">
        <v>3.1951777986463998</v>
      </c>
      <c r="M828">
        <v>3.3656884345193401</v>
      </c>
      <c r="N828">
        <v>51.774403684841602</v>
      </c>
      <c r="O828">
        <v>102.755802905851</v>
      </c>
      <c r="P828">
        <v>9.4348700000000001</v>
      </c>
      <c r="Q828">
        <v>6.31724</v>
      </c>
      <c r="R828">
        <v>257396136.088</v>
      </c>
      <c r="S828">
        <v>0</v>
      </c>
      <c r="T828">
        <v>3308194087</v>
      </c>
    </row>
    <row r="829" spans="1:20" x14ac:dyDescent="0.2">
      <c r="A829" t="s">
        <v>102</v>
      </c>
      <c r="B829" t="s">
        <v>66</v>
      </c>
      <c r="C829">
        <v>2017</v>
      </c>
      <c r="D829">
        <v>3832860400</v>
      </c>
      <c r="E829">
        <v>1080008900.4243</v>
      </c>
      <c r="F829">
        <v>883284320</v>
      </c>
      <c r="G829">
        <v>551220400</v>
      </c>
      <c r="H829">
        <v>2088074240</v>
      </c>
      <c r="I829">
        <v>2.10836883626405</v>
      </c>
      <c r="J829">
        <v>5562772550.70403</v>
      </c>
      <c r="K829">
        <v>1536986.6284153</v>
      </c>
      <c r="L829">
        <v>16.83782967322</v>
      </c>
      <c r="M829">
        <v>-3.62512110974584</v>
      </c>
      <c r="N829">
        <v>51.479328000923701</v>
      </c>
      <c r="O829">
        <v>183.493942958611</v>
      </c>
      <c r="P829">
        <v>8.7220300000000002</v>
      </c>
      <c r="Q829">
        <v>5.1206100000000001</v>
      </c>
      <c r="R829">
        <v>314654036.11799997</v>
      </c>
      <c r="S829">
        <v>5.9874999999999998</v>
      </c>
      <c r="T829">
        <v>2983724160</v>
      </c>
    </row>
    <row r="830" spans="1:20" x14ac:dyDescent="0.2">
      <c r="A830" t="s">
        <v>102</v>
      </c>
      <c r="B830" t="s">
        <v>66</v>
      </c>
      <c r="C830">
        <v>2018</v>
      </c>
      <c r="D830">
        <v>10138948347</v>
      </c>
      <c r="E830">
        <v>1126845306.3759999</v>
      </c>
      <c r="F830">
        <v>2415718419</v>
      </c>
      <c r="G830">
        <v>1021589055</v>
      </c>
      <c r="H830">
        <v>4134955683</v>
      </c>
      <c r="I830">
        <v>2.0128444473668701</v>
      </c>
      <c r="J830">
        <v>4877017511.5665998</v>
      </c>
      <c r="K830">
        <v>-55332895.693150699</v>
      </c>
      <c r="L830">
        <v>5.8738448600034996</v>
      </c>
      <c r="M830">
        <v>-9.0635754754600804</v>
      </c>
      <c r="N830">
        <v>53.164014356095102</v>
      </c>
      <c r="O830">
        <v>284.567924839878</v>
      </c>
      <c r="P830">
        <v>6.6958299999999999</v>
      </c>
      <c r="Q830">
        <v>3.3367900000000001</v>
      </c>
      <c r="R830">
        <v>367367098.6002</v>
      </c>
      <c r="S830">
        <v>5.8933</v>
      </c>
      <c r="T830">
        <v>6560427339</v>
      </c>
    </row>
    <row r="831" spans="1:20" x14ac:dyDescent="0.2">
      <c r="A831" t="s">
        <v>102</v>
      </c>
      <c r="B831" t="s">
        <v>66</v>
      </c>
      <c r="C831">
        <v>2019</v>
      </c>
      <c r="D831">
        <v>10247937336</v>
      </c>
      <c r="E831">
        <v>1687223183.2904999</v>
      </c>
      <c r="F831">
        <v>2538682272</v>
      </c>
      <c r="G831">
        <v>1179446184</v>
      </c>
      <c r="H831">
        <v>4002810336</v>
      </c>
      <c r="I831">
        <v>2.4122201075091998</v>
      </c>
      <c r="J831">
        <v>2825148612.5464702</v>
      </c>
      <c r="K831">
        <v>-43748521.380821899</v>
      </c>
      <c r="L831">
        <v>1.7282449537508899</v>
      </c>
      <c r="M831">
        <v>-7.3373718649745303</v>
      </c>
      <c r="N831">
        <v>57.753236187578501</v>
      </c>
      <c r="O831">
        <v>144.91724880789999</v>
      </c>
      <c r="P831">
        <v>6.0962199999999998</v>
      </c>
      <c r="Q831">
        <v>3.1215099999999998</v>
      </c>
      <c r="R831">
        <v>415560675.24599999</v>
      </c>
      <c r="S831">
        <v>8.0894999999999992</v>
      </c>
      <c r="T831">
        <v>6558059088</v>
      </c>
    </row>
    <row r="832" spans="1:20" x14ac:dyDescent="0.2">
      <c r="A832" t="s">
        <v>102</v>
      </c>
      <c r="B832" t="s">
        <v>66</v>
      </c>
      <c r="C832">
        <v>2020</v>
      </c>
      <c r="D832">
        <v>11072427132</v>
      </c>
      <c r="E832">
        <v>1156987695.5599999</v>
      </c>
      <c r="F832">
        <v>3487240952</v>
      </c>
      <c r="G832">
        <v>1638625014</v>
      </c>
      <c r="H832">
        <v>3941834728</v>
      </c>
      <c r="I832">
        <v>2.1391386738036999</v>
      </c>
      <c r="J832">
        <v>2340900180.6886501</v>
      </c>
      <c r="K832">
        <v>21981158.1369863</v>
      </c>
      <c r="L832">
        <v>-0.81175075867156898</v>
      </c>
      <c r="M832">
        <v>5.8742812766319199</v>
      </c>
      <c r="N832">
        <v>65.404458234484494</v>
      </c>
      <c r="O832">
        <v>45.353801294053298</v>
      </c>
      <c r="P832">
        <v>7.8197000000000001</v>
      </c>
      <c r="Q832">
        <v>3.6550600000000002</v>
      </c>
      <c r="R832">
        <v>206592845.99599999</v>
      </c>
      <c r="S832">
        <v>15.366400000000001</v>
      </c>
      <c r="T832">
        <v>7433982010</v>
      </c>
    </row>
    <row r="833" spans="1:20" x14ac:dyDescent="0.2">
      <c r="A833" t="s">
        <v>102</v>
      </c>
      <c r="B833" t="s">
        <v>66</v>
      </c>
      <c r="C833">
        <v>2021</v>
      </c>
      <c r="D833">
        <v>8043072400</v>
      </c>
      <c r="E833">
        <v>1210928540.1675</v>
      </c>
      <c r="F833">
        <v>1763040160</v>
      </c>
      <c r="G833">
        <v>463358920</v>
      </c>
      <c r="H833">
        <v>3414396000</v>
      </c>
      <c r="I833">
        <v>2.5730090253377198</v>
      </c>
      <c r="J833">
        <v>1630973881.8177199</v>
      </c>
      <c r="K833">
        <v>-229612984.45082</v>
      </c>
      <c r="L833">
        <v>6.7886100059704502</v>
      </c>
      <c r="M833">
        <v>1.36649817474972</v>
      </c>
      <c r="N833">
        <v>60.777754931015401</v>
      </c>
      <c r="O833">
        <v>581.25352959040401</v>
      </c>
      <c r="P833">
        <v>7.43757</v>
      </c>
      <c r="Q833">
        <v>2.2844099999999998</v>
      </c>
      <c r="R833">
        <v>194583393.54190001</v>
      </c>
      <c r="S833">
        <v>15.0017</v>
      </c>
      <c r="T833">
        <v>5179728800</v>
      </c>
    </row>
    <row r="834" spans="1:20" x14ac:dyDescent="0.2">
      <c r="A834" t="s">
        <v>102</v>
      </c>
      <c r="B834" t="s">
        <v>66</v>
      </c>
      <c r="C834">
        <v>2022</v>
      </c>
      <c r="D834">
        <v>8440425666</v>
      </c>
      <c r="E834">
        <v>766062259.58399999</v>
      </c>
      <c r="F834">
        <v>2063506428</v>
      </c>
      <c r="G834">
        <v>422236800</v>
      </c>
      <c r="H834">
        <v>3590772120</v>
      </c>
      <c r="I834">
        <v>1.3898415060845699</v>
      </c>
      <c r="J834">
        <v>1064267022.22816</v>
      </c>
      <c r="K834">
        <v>-207247715.06849301</v>
      </c>
      <c r="L834">
        <v>1.71594991013719</v>
      </c>
      <c r="M834">
        <v>5.7694048641145503</v>
      </c>
      <c r="N834">
        <v>68.591190718533696</v>
      </c>
      <c r="O834">
        <v>516.28435377471101</v>
      </c>
      <c r="P834">
        <v>7.4231100000000003</v>
      </c>
      <c r="Q834">
        <v>1.18563</v>
      </c>
      <c r="R834">
        <v>154362217.5774</v>
      </c>
      <c r="S834">
        <v>13.3772</v>
      </c>
      <c r="T834">
        <v>5657181426</v>
      </c>
    </row>
    <row r="835" spans="1:20" x14ac:dyDescent="0.2">
      <c r="A835" t="s">
        <v>102</v>
      </c>
      <c r="B835" t="s">
        <v>66</v>
      </c>
      <c r="C835">
        <v>2023</v>
      </c>
      <c r="D835">
        <v>7042946560</v>
      </c>
      <c r="E835">
        <v>389370419.62</v>
      </c>
      <c r="F835">
        <v>1189304320</v>
      </c>
      <c r="G835">
        <v>501492480</v>
      </c>
      <c r="H835">
        <v>3202001920</v>
      </c>
      <c r="I835">
        <v>2.0545486545728302</v>
      </c>
      <c r="J835">
        <v>1143412150.8427401</v>
      </c>
      <c r="K835">
        <v>-700000669.02465796</v>
      </c>
      <c r="L835">
        <v>3.4298519094639</v>
      </c>
      <c r="M835">
        <v>11.5788607353735</v>
      </c>
      <c r="N835">
        <v>68.187787813886501</v>
      </c>
      <c r="O835">
        <v>396.50634394616202</v>
      </c>
      <c r="P835">
        <v>5.9571500000000004</v>
      </c>
      <c r="Q835">
        <v>1.19069</v>
      </c>
      <c r="R835">
        <v>187711609.12959999</v>
      </c>
      <c r="S835">
        <v>3.4765000000000001</v>
      </c>
      <c r="T835">
        <v>4392707840</v>
      </c>
    </row>
    <row r="836" spans="1:20" x14ac:dyDescent="0.2">
      <c r="A836" t="s">
        <v>102</v>
      </c>
      <c r="B836" t="s">
        <v>66</v>
      </c>
      <c r="C836">
        <v>2024</v>
      </c>
      <c r="D836">
        <v>6754383633</v>
      </c>
      <c r="E836">
        <v>1061000151.0462</v>
      </c>
      <c r="F836">
        <v>1384838479</v>
      </c>
      <c r="G836">
        <v>322763506</v>
      </c>
      <c r="H836">
        <v>2952624605</v>
      </c>
      <c r="I836">
        <v>2.49611369732802</v>
      </c>
      <c r="J836">
        <v>440810241.96157402</v>
      </c>
      <c r="K836">
        <v>-231241458.90411001</v>
      </c>
      <c r="L836">
        <v>3.2005509914865602</v>
      </c>
      <c r="M836">
        <v>4.2500803242526901</v>
      </c>
      <c r="N836">
        <v>68.610226520971494</v>
      </c>
      <c r="O836">
        <v>-20.023009870780399</v>
      </c>
      <c r="P836">
        <v>5.4454599999999997</v>
      </c>
      <c r="Q836">
        <v>1.00349</v>
      </c>
      <c r="R836">
        <v>208457643.1586</v>
      </c>
      <c r="S836">
        <v>5.0079000000000002</v>
      </c>
      <c r="T836">
        <v>4342356186</v>
      </c>
    </row>
    <row r="837" spans="1:20" x14ac:dyDescent="0.2">
      <c r="A837" t="s">
        <v>102</v>
      </c>
      <c r="B837" t="s">
        <v>66</v>
      </c>
      <c r="C837">
        <v>2025</v>
      </c>
      <c r="D837">
        <v>4492111130</v>
      </c>
      <c r="E837">
        <v>910797349.5</v>
      </c>
      <c r="F837">
        <v>1479469030</v>
      </c>
      <c r="G837">
        <v>340962700</v>
      </c>
      <c r="H837">
        <v>416496080</v>
      </c>
      <c r="I837">
        <v>3.6696160190844198</v>
      </c>
      <c r="J837">
        <v>193160848.16021001</v>
      </c>
      <c r="K837">
        <v>-2594687965.3770499</v>
      </c>
      <c r="L837">
        <v>1.26768365433782</v>
      </c>
      <c r="M837">
        <v>-8.7591856615051906</v>
      </c>
      <c r="N837">
        <v>58.6960683832448</v>
      </c>
      <c r="O837">
        <v>-5.6147552375350402</v>
      </c>
      <c r="P837">
        <v>3.7526199999999998</v>
      </c>
      <c r="Q837">
        <v>-0.61207999999999996</v>
      </c>
      <c r="R837">
        <v>165026858</v>
      </c>
      <c r="S837">
        <v>4.0842000000000001</v>
      </c>
      <c r="T837">
        <v>1900794610</v>
      </c>
    </row>
    <row r="838" spans="1:20" x14ac:dyDescent="0.2">
      <c r="A838" t="s">
        <v>144</v>
      </c>
      <c r="B838" t="s">
        <v>68</v>
      </c>
      <c r="C838">
        <v>2004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  <c r="S838" t="s">
        <v>18</v>
      </c>
      <c r="T838" t="s">
        <v>18</v>
      </c>
    </row>
    <row r="839" spans="1:20" x14ac:dyDescent="0.2">
      <c r="A839" t="s">
        <v>144</v>
      </c>
      <c r="B839" t="s">
        <v>68</v>
      </c>
      <c r="C839">
        <v>2005</v>
      </c>
      <c r="D839" t="s">
        <v>18</v>
      </c>
      <c r="E839" t="s">
        <v>18</v>
      </c>
      <c r="F839" t="s">
        <v>18</v>
      </c>
      <c r="G839" t="s">
        <v>18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  <c r="S839" t="s">
        <v>18</v>
      </c>
      <c r="T839" t="s">
        <v>18</v>
      </c>
    </row>
    <row r="840" spans="1:20" x14ac:dyDescent="0.2">
      <c r="A840" t="s">
        <v>144</v>
      </c>
      <c r="B840" t="s">
        <v>68</v>
      </c>
      <c r="C840">
        <v>2006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  <c r="S840" t="s">
        <v>18</v>
      </c>
      <c r="T840" t="s">
        <v>18</v>
      </c>
    </row>
    <row r="841" spans="1:20" x14ac:dyDescent="0.2">
      <c r="A841" t="s">
        <v>144</v>
      </c>
      <c r="B841" t="s">
        <v>68</v>
      </c>
      <c r="C841">
        <v>2007</v>
      </c>
      <c r="D841" t="s">
        <v>18</v>
      </c>
      <c r="E841" t="s">
        <v>18</v>
      </c>
      <c r="F841" t="s">
        <v>18</v>
      </c>
      <c r="G841" t="s">
        <v>18</v>
      </c>
      <c r="H841" t="s">
        <v>18</v>
      </c>
      <c r="I841" t="s">
        <v>18</v>
      </c>
      <c r="J841">
        <v>17875781.370421201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  <c r="S841" t="s">
        <v>18</v>
      </c>
      <c r="T841" t="s">
        <v>18</v>
      </c>
    </row>
    <row r="842" spans="1:20" x14ac:dyDescent="0.2">
      <c r="A842" t="s">
        <v>144</v>
      </c>
      <c r="B842" t="s">
        <v>68</v>
      </c>
      <c r="C842">
        <v>2008</v>
      </c>
      <c r="D842">
        <v>4831196.9170187498</v>
      </c>
      <c r="E842" t="s">
        <v>18</v>
      </c>
      <c r="F842" t="s">
        <v>18</v>
      </c>
      <c r="G842">
        <v>3059212.4242928801</v>
      </c>
      <c r="H842">
        <v>4238784.7108040098</v>
      </c>
      <c r="I842" t="s">
        <v>18</v>
      </c>
      <c r="J842">
        <v>4327413.1997931805</v>
      </c>
      <c r="K842">
        <v>-2526055.7659212602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  <c r="S842" t="s">
        <v>18</v>
      </c>
      <c r="T842">
        <v>4238784.7108040098</v>
      </c>
    </row>
    <row r="843" spans="1:20" x14ac:dyDescent="0.2">
      <c r="A843" t="s">
        <v>144</v>
      </c>
      <c r="B843" t="s">
        <v>68</v>
      </c>
      <c r="C843">
        <v>2009</v>
      </c>
      <c r="D843">
        <v>6486066.7847674098</v>
      </c>
      <c r="E843">
        <v>-1865532.24197426</v>
      </c>
      <c r="F843" t="s">
        <v>18</v>
      </c>
      <c r="G843">
        <v>4556657.0257893503</v>
      </c>
      <c r="H843">
        <v>5931227.5247047497</v>
      </c>
      <c r="I843" t="s">
        <v>18</v>
      </c>
      <c r="J843">
        <v>16177485.2360359</v>
      </c>
      <c r="K843">
        <v>-3444769.7960532499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  <c r="S843" t="s">
        <v>18</v>
      </c>
      <c r="T843">
        <v>5931227.5247047497</v>
      </c>
    </row>
    <row r="844" spans="1:20" x14ac:dyDescent="0.2">
      <c r="A844" t="s">
        <v>144</v>
      </c>
      <c r="B844" t="s">
        <v>68</v>
      </c>
      <c r="C844">
        <v>2010</v>
      </c>
      <c r="D844">
        <v>3356746.3205986298</v>
      </c>
      <c r="E844" t="s">
        <v>18</v>
      </c>
      <c r="F844" t="s">
        <v>18</v>
      </c>
      <c r="G844">
        <v>2088420.1423896099</v>
      </c>
      <c r="H844">
        <v>2999744.6899761502</v>
      </c>
      <c r="I844" t="s">
        <v>18</v>
      </c>
      <c r="J844">
        <v>128822039.60019401</v>
      </c>
      <c r="K844">
        <v>-2350549.7695641899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  <c r="S844" t="s">
        <v>18</v>
      </c>
      <c r="T844">
        <v>2999744.6899761502</v>
      </c>
    </row>
    <row r="845" spans="1:20" x14ac:dyDescent="0.2">
      <c r="A845" t="s">
        <v>144</v>
      </c>
      <c r="B845" t="s">
        <v>68</v>
      </c>
      <c r="C845">
        <v>2011</v>
      </c>
      <c r="D845">
        <v>8041858.9828714402</v>
      </c>
      <c r="E845" t="s">
        <v>18</v>
      </c>
      <c r="F845" t="s">
        <v>18</v>
      </c>
      <c r="G845">
        <v>6147161.8745188601</v>
      </c>
      <c r="H845">
        <v>7608930.2155504199</v>
      </c>
      <c r="I845" t="s">
        <v>18</v>
      </c>
      <c r="J845">
        <v>76934443.291805699</v>
      </c>
      <c r="K845">
        <v>-3202082.3508095499</v>
      </c>
      <c r="L845" t="s">
        <v>18</v>
      </c>
      <c r="M845" t="s">
        <v>18</v>
      </c>
      <c r="N845" t="s">
        <v>18</v>
      </c>
      <c r="O845" t="s">
        <v>18</v>
      </c>
      <c r="P845">
        <v>-1530.85429</v>
      </c>
      <c r="Q845">
        <v>-1689.7285300000001</v>
      </c>
      <c r="R845" t="s">
        <v>18</v>
      </c>
      <c r="S845" t="s">
        <v>18</v>
      </c>
      <c r="T845">
        <v>7608930.2155504199</v>
      </c>
    </row>
    <row r="846" spans="1:20" x14ac:dyDescent="0.2">
      <c r="A846" t="s">
        <v>144</v>
      </c>
      <c r="B846" t="s">
        <v>68</v>
      </c>
      <c r="C846">
        <v>2012</v>
      </c>
      <c r="D846">
        <v>9028187.1119887996</v>
      </c>
      <c r="E846" t="s">
        <v>18</v>
      </c>
      <c r="F846" t="s">
        <v>18</v>
      </c>
      <c r="G846">
        <v>6929880.1338363504</v>
      </c>
      <c r="H846">
        <v>8417327.4858907908</v>
      </c>
      <c r="I846" t="s">
        <v>18</v>
      </c>
      <c r="J846">
        <v>99617436.199016199</v>
      </c>
      <c r="K846">
        <v>-4599467.3825752102</v>
      </c>
      <c r="L846" t="s">
        <v>18</v>
      </c>
      <c r="M846" t="s">
        <v>18</v>
      </c>
      <c r="N846" t="s">
        <v>18</v>
      </c>
      <c r="O846" t="s">
        <v>18</v>
      </c>
      <c r="P846">
        <v>-11314.23819</v>
      </c>
      <c r="Q846">
        <v>-12377.895570000001</v>
      </c>
      <c r="R846" t="s">
        <v>18</v>
      </c>
      <c r="S846" t="s">
        <v>18</v>
      </c>
      <c r="T846">
        <v>8417327.4858907908</v>
      </c>
    </row>
    <row r="847" spans="1:20" x14ac:dyDescent="0.2">
      <c r="A847" t="s">
        <v>144</v>
      </c>
      <c r="B847" t="s">
        <v>68</v>
      </c>
      <c r="C847">
        <v>2013</v>
      </c>
      <c r="D847">
        <v>15894256.950454799</v>
      </c>
      <c r="E847" t="s">
        <v>18</v>
      </c>
      <c r="F847" t="s">
        <v>18</v>
      </c>
      <c r="G847">
        <v>13610581.0952197</v>
      </c>
      <c r="H847">
        <v>15349471.4697116</v>
      </c>
      <c r="I847" t="s">
        <v>18</v>
      </c>
      <c r="J847">
        <v>91441882.272425607</v>
      </c>
      <c r="K847">
        <v>-4640202.3143572696</v>
      </c>
      <c r="L847" t="s">
        <v>18</v>
      </c>
      <c r="M847">
        <v>1.4051015084187899</v>
      </c>
      <c r="N847" t="s">
        <v>18</v>
      </c>
      <c r="O847" t="s">
        <v>18</v>
      </c>
      <c r="P847">
        <v>-1057.2906800000001</v>
      </c>
      <c r="Q847">
        <v>-1185.1239800000001</v>
      </c>
      <c r="R847" t="s">
        <v>18</v>
      </c>
      <c r="S847" t="s">
        <v>18</v>
      </c>
      <c r="T847">
        <v>15349471.4697116</v>
      </c>
    </row>
    <row r="848" spans="1:20" x14ac:dyDescent="0.2">
      <c r="A848" t="s">
        <v>144</v>
      </c>
      <c r="B848" t="s">
        <v>68</v>
      </c>
      <c r="C848">
        <v>2014</v>
      </c>
      <c r="D848">
        <v>11745615.7297896</v>
      </c>
      <c r="E848" t="s">
        <v>18</v>
      </c>
      <c r="F848" t="s">
        <v>18</v>
      </c>
      <c r="G848">
        <v>1135049.0619145399</v>
      </c>
      <c r="H848">
        <v>10546336.723549999</v>
      </c>
      <c r="I848" t="s">
        <v>18</v>
      </c>
      <c r="J848">
        <v>33332554.5795817</v>
      </c>
      <c r="K848">
        <v>-4901435.8258636296</v>
      </c>
      <c r="L848" t="s">
        <v>18</v>
      </c>
      <c r="M848">
        <v>12.199457640745299</v>
      </c>
      <c r="N848" t="s">
        <v>18</v>
      </c>
      <c r="O848" t="s">
        <v>18</v>
      </c>
      <c r="P848">
        <v>-546.78756999999996</v>
      </c>
      <c r="Q848">
        <v>-607.94203000000005</v>
      </c>
      <c r="R848" t="s">
        <v>18</v>
      </c>
      <c r="S848" t="s">
        <v>18</v>
      </c>
      <c r="T848">
        <v>10546336.723549999</v>
      </c>
    </row>
    <row r="849" spans="1:20" x14ac:dyDescent="0.2">
      <c r="A849" t="s">
        <v>144</v>
      </c>
      <c r="B849" t="s">
        <v>68</v>
      </c>
      <c r="C849">
        <v>2015</v>
      </c>
      <c r="D849">
        <v>13656272.5123001</v>
      </c>
      <c r="E849">
        <v>3926200.4633765901</v>
      </c>
      <c r="F849" t="s">
        <v>18</v>
      </c>
      <c r="G849">
        <v>3776348.0284229098</v>
      </c>
      <c r="H849">
        <v>12211455.606733801</v>
      </c>
      <c r="I849">
        <v>-0.51785714285714202</v>
      </c>
      <c r="J849">
        <v>97666845.767110795</v>
      </c>
      <c r="K849">
        <v>-6680840.77164461</v>
      </c>
      <c r="L849">
        <v>111.764705882353</v>
      </c>
      <c r="M849">
        <v>5.4195900972218398</v>
      </c>
      <c r="N849" t="s">
        <v>18</v>
      </c>
      <c r="O849" t="s">
        <v>18</v>
      </c>
      <c r="P849">
        <v>-633.84285999999997</v>
      </c>
      <c r="Q849">
        <v>-673.79076999999995</v>
      </c>
      <c r="R849" t="s">
        <v>18</v>
      </c>
      <c r="S849" t="s">
        <v>18</v>
      </c>
      <c r="T849">
        <v>12211455.606733801</v>
      </c>
    </row>
    <row r="850" spans="1:20" x14ac:dyDescent="0.2">
      <c r="A850" t="s">
        <v>144</v>
      </c>
      <c r="B850" t="s">
        <v>68</v>
      </c>
      <c r="C850">
        <v>2016</v>
      </c>
      <c r="D850">
        <v>10218109.894502999</v>
      </c>
      <c r="E850" t="s">
        <v>18</v>
      </c>
      <c r="F850" t="s">
        <v>18</v>
      </c>
      <c r="G850">
        <v>947138.76612617099</v>
      </c>
      <c r="H850">
        <v>7871920.4810466403</v>
      </c>
      <c r="I850" t="s">
        <v>18</v>
      </c>
      <c r="J850">
        <v>76896087.260824397</v>
      </c>
      <c r="K850">
        <v>-6484849.3922479199</v>
      </c>
      <c r="L850" t="s">
        <v>18</v>
      </c>
      <c r="M850">
        <v>-27.103484896137399</v>
      </c>
      <c r="N850" t="s">
        <v>18</v>
      </c>
      <c r="O850" t="s">
        <v>18</v>
      </c>
      <c r="P850">
        <v>-369.85147999999998</v>
      </c>
      <c r="Q850">
        <v>-382.15161000000001</v>
      </c>
      <c r="R850">
        <v>-10333247.782258101</v>
      </c>
      <c r="S850">
        <v>100</v>
      </c>
      <c r="T850">
        <v>7871920.4810466403</v>
      </c>
    </row>
    <row r="851" spans="1:20" x14ac:dyDescent="0.2">
      <c r="A851" t="s">
        <v>144</v>
      </c>
      <c r="B851" t="s">
        <v>68</v>
      </c>
      <c r="C851">
        <v>2017</v>
      </c>
      <c r="D851">
        <v>6917333.8151580403</v>
      </c>
      <c r="E851" t="s">
        <v>18</v>
      </c>
      <c r="F851">
        <v>6470.5659354112104</v>
      </c>
      <c r="G851">
        <v>3245721.9541414701</v>
      </c>
      <c r="H851">
        <v>5465880.9507626798</v>
      </c>
      <c r="I851" t="s">
        <v>18</v>
      </c>
      <c r="J851">
        <v>60403909.7031596</v>
      </c>
      <c r="K851">
        <v>-7136400.9436163604</v>
      </c>
      <c r="L851" t="s">
        <v>18</v>
      </c>
      <c r="M851">
        <v>-24.5602081992064</v>
      </c>
      <c r="N851" t="s">
        <v>18</v>
      </c>
      <c r="O851" t="s">
        <v>18</v>
      </c>
      <c r="P851">
        <v>-636.42154000000005</v>
      </c>
      <c r="Q851">
        <v>-654.26021000000003</v>
      </c>
      <c r="R851" t="s">
        <v>18</v>
      </c>
      <c r="S851">
        <v>100</v>
      </c>
      <c r="T851">
        <v>5472351.5166980904</v>
      </c>
    </row>
    <row r="852" spans="1:20" x14ac:dyDescent="0.2">
      <c r="A852" t="s">
        <v>144</v>
      </c>
      <c r="B852" t="s">
        <v>68</v>
      </c>
      <c r="C852">
        <v>2018</v>
      </c>
      <c r="D852">
        <v>10557194.259822</v>
      </c>
      <c r="E852">
        <v>-4143240.9517985201</v>
      </c>
      <c r="F852">
        <v>8639.4301235223793</v>
      </c>
      <c r="G852">
        <v>7615993.0106919901</v>
      </c>
      <c r="H852">
        <v>9593428.9859211091</v>
      </c>
      <c r="I852" t="s">
        <v>18</v>
      </c>
      <c r="J852">
        <v>23791947.2556495</v>
      </c>
      <c r="K852">
        <v>-5655481.1102941502</v>
      </c>
      <c r="L852" t="s">
        <v>18</v>
      </c>
      <c r="M852">
        <v>-17.8147284405057</v>
      </c>
      <c r="N852" t="s">
        <v>18</v>
      </c>
      <c r="O852" t="s">
        <v>18</v>
      </c>
      <c r="P852">
        <v>-2293.8788399999999</v>
      </c>
      <c r="Q852">
        <v>-2389.36213</v>
      </c>
      <c r="R852">
        <v>-4591158.8925334997</v>
      </c>
      <c r="S852">
        <v>100</v>
      </c>
      <c r="T852">
        <v>9602068.4160446301</v>
      </c>
    </row>
    <row r="853" spans="1:20" x14ac:dyDescent="0.2">
      <c r="A853" t="s">
        <v>144</v>
      </c>
      <c r="B853" t="s">
        <v>68</v>
      </c>
      <c r="C853">
        <v>2019</v>
      </c>
      <c r="D853">
        <v>5938746.8356884802</v>
      </c>
      <c r="E853">
        <v>-1190364.1935365701</v>
      </c>
      <c r="F853">
        <v>8548.3649012624592</v>
      </c>
      <c r="G853">
        <v>2880381.3727007001</v>
      </c>
      <c r="H853">
        <v>4874750.7951084403</v>
      </c>
      <c r="I853">
        <v>0.25070164761213298</v>
      </c>
      <c r="J853">
        <v>98401876.927884698</v>
      </c>
      <c r="K853">
        <v>-4892283.1155737499</v>
      </c>
      <c r="L853" t="s">
        <v>18</v>
      </c>
      <c r="M853">
        <v>-20.543580479378601</v>
      </c>
      <c r="N853" t="s">
        <v>18</v>
      </c>
      <c r="O853">
        <v>-1.84302384657582</v>
      </c>
      <c r="P853">
        <v>-1242922.2222200001</v>
      </c>
      <c r="Q853">
        <v>-1281686.5633100001</v>
      </c>
      <c r="R853">
        <v>-5097624.4399135597</v>
      </c>
      <c r="S853">
        <v>0</v>
      </c>
      <c r="T853">
        <v>4883299.1600096999</v>
      </c>
    </row>
    <row r="854" spans="1:20" x14ac:dyDescent="0.2">
      <c r="A854" t="s">
        <v>144</v>
      </c>
      <c r="B854" t="s">
        <v>68</v>
      </c>
      <c r="C854">
        <v>2020</v>
      </c>
      <c r="D854">
        <v>4873243.3930124203</v>
      </c>
      <c r="E854">
        <v>19146569.358863398</v>
      </c>
      <c r="F854">
        <v>433145.77872670803</v>
      </c>
      <c r="G854">
        <v>1541112.5570652201</v>
      </c>
      <c r="H854">
        <v>3315560.7439699802</v>
      </c>
      <c r="I854">
        <v>-3.38471603595243</v>
      </c>
      <c r="J854">
        <v>266747330.19052801</v>
      </c>
      <c r="K854">
        <v>-3229358.8995808298</v>
      </c>
      <c r="L854" t="s">
        <v>18</v>
      </c>
      <c r="M854">
        <v>21.242026443395101</v>
      </c>
      <c r="N854" t="s">
        <v>18</v>
      </c>
      <c r="O854">
        <v>36.9526435531956</v>
      </c>
      <c r="P854" t="s">
        <v>18</v>
      </c>
      <c r="Q854" t="s">
        <v>18</v>
      </c>
      <c r="R854">
        <v>-5993566.81264959</v>
      </c>
      <c r="S854">
        <v>0</v>
      </c>
      <c r="T854">
        <v>3748706.5226966902</v>
      </c>
    </row>
    <row r="855" spans="1:20" x14ac:dyDescent="0.2">
      <c r="A855" t="s">
        <v>144</v>
      </c>
      <c r="B855" t="s">
        <v>68</v>
      </c>
      <c r="C855">
        <v>2021</v>
      </c>
      <c r="D855">
        <v>38690367.150969297</v>
      </c>
      <c r="E855" t="s">
        <v>18</v>
      </c>
      <c r="F855">
        <v>288662.19350622501</v>
      </c>
      <c r="G855">
        <v>34779002.706641302</v>
      </c>
      <c r="H855">
        <v>36692871.526917197</v>
      </c>
      <c r="I855" t="s">
        <v>18</v>
      </c>
      <c r="J855">
        <v>443693423.03771901</v>
      </c>
      <c r="K855">
        <v>-4797435.2431774205</v>
      </c>
      <c r="L855" t="s">
        <v>18</v>
      </c>
      <c r="M855">
        <v>45.628943426309</v>
      </c>
      <c r="N855">
        <v>9.3494253238560603</v>
      </c>
      <c r="O855" t="s">
        <v>18</v>
      </c>
      <c r="P855" t="s">
        <v>18</v>
      </c>
      <c r="Q855" t="s">
        <v>18</v>
      </c>
      <c r="R855">
        <v>-9268663.7436485793</v>
      </c>
      <c r="S855">
        <v>100</v>
      </c>
      <c r="T855">
        <v>36981533.7204234</v>
      </c>
    </row>
    <row r="856" spans="1:20" x14ac:dyDescent="0.2">
      <c r="A856" t="s">
        <v>144</v>
      </c>
      <c r="B856" t="s">
        <v>68</v>
      </c>
      <c r="C856">
        <v>2022</v>
      </c>
      <c r="D856">
        <v>74775514.307033002</v>
      </c>
      <c r="E856">
        <v>-2278316.7119334601</v>
      </c>
      <c r="F856">
        <v>1073075.65939678</v>
      </c>
      <c r="G856">
        <v>65577667.450719498</v>
      </c>
      <c r="H856">
        <v>70919882.0330773</v>
      </c>
      <c r="I856" t="s">
        <v>18</v>
      </c>
      <c r="J856">
        <v>180656178.731644</v>
      </c>
      <c r="K856">
        <v>-10801717.9411829</v>
      </c>
      <c r="L856" t="s">
        <v>18</v>
      </c>
      <c r="M856">
        <v>65.759187027303497</v>
      </c>
      <c r="N856">
        <v>16.4588761703166</v>
      </c>
      <c r="O856" t="s">
        <v>18</v>
      </c>
      <c r="P856">
        <v>-1605.35628</v>
      </c>
      <c r="Q856">
        <v>-1755.83097</v>
      </c>
      <c r="R856">
        <v>-16409243.0390775</v>
      </c>
      <c r="S856">
        <v>100</v>
      </c>
      <c r="T856">
        <v>71992957.692474097</v>
      </c>
    </row>
    <row r="857" spans="1:20" x14ac:dyDescent="0.2">
      <c r="A857" t="s">
        <v>144</v>
      </c>
      <c r="B857" t="s">
        <v>68</v>
      </c>
      <c r="C857">
        <v>2023</v>
      </c>
      <c r="D857">
        <v>58811633.360858798</v>
      </c>
      <c r="E857">
        <v>-27104189.6074766</v>
      </c>
      <c r="F857">
        <v>1155831.5441783699</v>
      </c>
      <c r="G857">
        <v>46674241.673547998</v>
      </c>
      <c r="H857">
        <v>53077734.104046203</v>
      </c>
      <c r="I857">
        <v>1.99638355573478</v>
      </c>
      <c r="J857">
        <v>120938072.604982</v>
      </c>
      <c r="K857">
        <v>-19370449.294940401</v>
      </c>
      <c r="L857">
        <v>894.97064720164894</v>
      </c>
      <c r="M857">
        <v>69.917553429550395</v>
      </c>
      <c r="N857">
        <v>11.4886193814969</v>
      </c>
      <c r="O857">
        <v>-7.7427293620840203</v>
      </c>
      <c r="P857">
        <v>-3052.4054999999998</v>
      </c>
      <c r="Q857">
        <v>-3369.75945</v>
      </c>
      <c r="R857">
        <v>-23417639.384859201</v>
      </c>
      <c r="S857">
        <v>100</v>
      </c>
      <c r="T857">
        <v>54233565.6482246</v>
      </c>
    </row>
    <row r="858" spans="1:20" x14ac:dyDescent="0.2">
      <c r="A858" t="s">
        <v>144</v>
      </c>
      <c r="B858" t="s">
        <v>68</v>
      </c>
      <c r="C858">
        <v>2024</v>
      </c>
      <c r="D858">
        <v>41638184.637445197</v>
      </c>
      <c r="E858">
        <v>-17526526.5905747</v>
      </c>
      <c r="F858">
        <v>1291498.4141643699</v>
      </c>
      <c r="G858">
        <v>31444079.717101499</v>
      </c>
      <c r="H858">
        <v>35717284.879269898</v>
      </c>
      <c r="I858">
        <v>0.78723517530343701</v>
      </c>
      <c r="J858">
        <v>109077804.946192</v>
      </c>
      <c r="K858">
        <v>-20085153.449462298</v>
      </c>
      <c r="L858">
        <v>176.21266941912299</v>
      </c>
      <c r="M858">
        <v>54.737099424353303</v>
      </c>
      <c r="N858">
        <v>24.067370015932301</v>
      </c>
      <c r="O858">
        <v>178.57493115915699</v>
      </c>
      <c r="P858">
        <v>-8086.3436099999999</v>
      </c>
      <c r="Q858">
        <v>-8819.3832600000005</v>
      </c>
      <c r="R858">
        <v>-25111792.589857198</v>
      </c>
      <c r="S858">
        <v>100</v>
      </c>
      <c r="T858">
        <v>37008783.2934343</v>
      </c>
    </row>
    <row r="859" spans="1:20" x14ac:dyDescent="0.2">
      <c r="A859" t="s">
        <v>144</v>
      </c>
      <c r="B859" t="s">
        <v>68</v>
      </c>
      <c r="C859">
        <v>2025</v>
      </c>
      <c r="D859">
        <v>43343369.645690098</v>
      </c>
      <c r="E859">
        <v>-37857860.387826502</v>
      </c>
      <c r="F859">
        <v>786940.75918019901</v>
      </c>
      <c r="G859">
        <v>18220522.939211398</v>
      </c>
      <c r="H859">
        <v>35872173.040461197</v>
      </c>
      <c r="I859">
        <v>1.96966214969528</v>
      </c>
      <c r="J859">
        <v>122688259.58942901</v>
      </c>
      <c r="K859">
        <v>-20437241.850052699</v>
      </c>
      <c r="L859">
        <v>147.44506636153599</v>
      </c>
      <c r="M859">
        <v>77.223122262979402</v>
      </c>
      <c r="N859">
        <v>24.067370015932301</v>
      </c>
      <c r="O859" t="s">
        <v>18</v>
      </c>
      <c r="P859">
        <v>-424.18790999999999</v>
      </c>
      <c r="Q859">
        <v>-489.00549999999998</v>
      </c>
      <c r="R859">
        <v>-20482368.234143201</v>
      </c>
      <c r="S859">
        <v>100</v>
      </c>
      <c r="T859">
        <v>36659113.799641401</v>
      </c>
    </row>
    <row r="860" spans="1:20" x14ac:dyDescent="0.2">
      <c r="A860" t="s">
        <v>143</v>
      </c>
      <c r="B860" t="s">
        <v>69</v>
      </c>
      <c r="C860">
        <v>2004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</row>
    <row r="861" spans="1:20" x14ac:dyDescent="0.2">
      <c r="A861" t="s">
        <v>143</v>
      </c>
      <c r="B861" t="s">
        <v>69</v>
      </c>
      <c r="C861">
        <v>2005</v>
      </c>
      <c r="D861" t="s">
        <v>18</v>
      </c>
      <c r="E861" t="s">
        <v>18</v>
      </c>
      <c r="F861" t="s">
        <v>18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</row>
    <row r="862" spans="1:20" x14ac:dyDescent="0.2">
      <c r="A862" t="s">
        <v>143</v>
      </c>
      <c r="B862" t="s">
        <v>69</v>
      </c>
      <c r="C862">
        <v>2006</v>
      </c>
      <c r="D862">
        <v>522000.00000712101</v>
      </c>
      <c r="E862">
        <v>-26377504.907251898</v>
      </c>
      <c r="F862">
        <v>179999.99999643999</v>
      </c>
      <c r="G862">
        <v>314000.00000444998</v>
      </c>
      <c r="H862">
        <v>38999.999997775099</v>
      </c>
      <c r="I862" t="s">
        <v>18</v>
      </c>
      <c r="J862">
        <v>115692495.483235</v>
      </c>
      <c r="K862">
        <v>-553188.089667566</v>
      </c>
      <c r="L862" t="s">
        <v>18</v>
      </c>
      <c r="M862" t="s">
        <v>18</v>
      </c>
      <c r="N862" t="s">
        <v>18</v>
      </c>
      <c r="O862" t="s">
        <v>18</v>
      </c>
      <c r="P862">
        <v>-5620</v>
      </c>
      <c r="Q862">
        <v>-5620</v>
      </c>
      <c r="R862">
        <v>-4469743.6982075199</v>
      </c>
      <c r="S862" t="s">
        <v>18</v>
      </c>
      <c r="T862">
        <v>218999.99999421599</v>
      </c>
    </row>
    <row r="863" spans="1:20" x14ac:dyDescent="0.2">
      <c r="A863" t="s">
        <v>143</v>
      </c>
      <c r="B863" t="s">
        <v>69</v>
      </c>
      <c r="C863">
        <v>2007</v>
      </c>
      <c r="D863" t="s">
        <v>18</v>
      </c>
      <c r="E863">
        <v>-24962820.751212001</v>
      </c>
      <c r="F863" t="s">
        <v>18</v>
      </c>
      <c r="G863" t="s">
        <v>18</v>
      </c>
      <c r="H863" t="s">
        <v>18</v>
      </c>
      <c r="I863" t="s">
        <v>18</v>
      </c>
      <c r="J863">
        <v>120307503.029553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>
        <v>-7288207.4125533197</v>
      </c>
      <c r="S863" t="s">
        <v>18</v>
      </c>
      <c r="T863" t="s">
        <v>18</v>
      </c>
    </row>
    <row r="864" spans="1:20" x14ac:dyDescent="0.2">
      <c r="A864" t="s">
        <v>143</v>
      </c>
      <c r="B864" t="s">
        <v>69</v>
      </c>
      <c r="C864">
        <v>2008</v>
      </c>
      <c r="D864">
        <v>69492000.000005394</v>
      </c>
      <c r="E864">
        <v>-34862547.805050701</v>
      </c>
      <c r="F864">
        <v>1590000.0000023099</v>
      </c>
      <c r="G864">
        <v>20551999.999993902</v>
      </c>
      <c r="H864">
        <v>58163999.999994598</v>
      </c>
      <c r="I864" t="s">
        <v>18</v>
      </c>
      <c r="J864">
        <v>42455803.122038603</v>
      </c>
      <c r="K864">
        <v>-12096309.343868401</v>
      </c>
      <c r="L864" t="s">
        <v>18</v>
      </c>
      <c r="M864" t="s">
        <v>18</v>
      </c>
      <c r="N864" t="s">
        <v>18</v>
      </c>
      <c r="O864" t="s">
        <v>18</v>
      </c>
      <c r="P864">
        <v>-97.702029999999993</v>
      </c>
      <c r="Q864">
        <v>-103.45653</v>
      </c>
      <c r="R864">
        <v>5817859.86252065</v>
      </c>
      <c r="S864" t="s">
        <v>18</v>
      </c>
      <c r="T864">
        <v>59825000.000003301</v>
      </c>
    </row>
    <row r="865" spans="1:20" x14ac:dyDescent="0.2">
      <c r="A865" t="s">
        <v>143</v>
      </c>
      <c r="B865" t="s">
        <v>69</v>
      </c>
      <c r="C865">
        <v>2009</v>
      </c>
      <c r="D865">
        <v>87324999.999999493</v>
      </c>
      <c r="E865" t="s">
        <v>18</v>
      </c>
      <c r="F865">
        <v>1501000.00000215</v>
      </c>
      <c r="G865">
        <v>27063999.999997001</v>
      </c>
      <c r="H865">
        <v>59476999.999996603</v>
      </c>
      <c r="I865" t="s">
        <v>18</v>
      </c>
      <c r="J865">
        <v>37168946.532501601</v>
      </c>
      <c r="K865">
        <v>1025478.90404023</v>
      </c>
      <c r="L865" t="s">
        <v>18</v>
      </c>
      <c r="M865" t="s">
        <v>18</v>
      </c>
      <c r="N865" t="s">
        <v>18</v>
      </c>
      <c r="O865" t="s">
        <v>18</v>
      </c>
      <c r="P865">
        <v>8.5063800000000001</v>
      </c>
      <c r="Q865">
        <v>5.9426500000000004</v>
      </c>
      <c r="R865" t="s">
        <v>18</v>
      </c>
      <c r="S865" t="s">
        <v>18</v>
      </c>
      <c r="T865">
        <v>61079999.999995701</v>
      </c>
    </row>
    <row r="866" spans="1:20" x14ac:dyDescent="0.2">
      <c r="A866" t="s">
        <v>143</v>
      </c>
      <c r="B866" t="s">
        <v>69</v>
      </c>
      <c r="C866">
        <v>2010</v>
      </c>
      <c r="D866">
        <v>82772999.999996498</v>
      </c>
      <c r="E866">
        <v>-1107314.76288135</v>
      </c>
      <c r="F866">
        <v>241000.00000489099</v>
      </c>
      <c r="G866">
        <v>28462999.999996599</v>
      </c>
      <c r="H866">
        <v>49655000.0000038</v>
      </c>
      <c r="I866" t="s">
        <v>18</v>
      </c>
      <c r="J866">
        <v>27589509.8333674</v>
      </c>
      <c r="K866">
        <v>-10868150.386745499</v>
      </c>
      <c r="L866" t="s">
        <v>18</v>
      </c>
      <c r="M866" t="s">
        <v>18</v>
      </c>
      <c r="N866" t="s">
        <v>18</v>
      </c>
      <c r="O866" t="s">
        <v>18</v>
      </c>
      <c r="P866">
        <v>11.334339999999999</v>
      </c>
      <c r="Q866">
        <v>7.55023</v>
      </c>
      <c r="R866" t="s">
        <v>18</v>
      </c>
      <c r="S866" t="s">
        <v>18</v>
      </c>
      <c r="T866">
        <v>49895999.9999974</v>
      </c>
    </row>
    <row r="867" spans="1:20" x14ac:dyDescent="0.2">
      <c r="A867" t="s">
        <v>143</v>
      </c>
      <c r="B867" t="s">
        <v>69</v>
      </c>
      <c r="C867">
        <v>2011</v>
      </c>
      <c r="D867">
        <v>87037999.999999806</v>
      </c>
      <c r="E867">
        <v>-13994733.976129999</v>
      </c>
      <c r="F867">
        <v>971999.99999659497</v>
      </c>
      <c r="G867" t="s">
        <v>18</v>
      </c>
      <c r="H867">
        <v>61193999.999994896</v>
      </c>
      <c r="I867" t="s">
        <v>18</v>
      </c>
      <c r="J867">
        <v>17089780.187093198</v>
      </c>
      <c r="K867">
        <v>10076317.2973332</v>
      </c>
      <c r="L867" t="s">
        <v>18</v>
      </c>
      <c r="M867" t="s">
        <v>18</v>
      </c>
      <c r="N867" t="s">
        <v>18</v>
      </c>
      <c r="O867" t="s">
        <v>18</v>
      </c>
      <c r="P867">
        <v>14.628080000000001</v>
      </c>
      <c r="Q867">
        <v>10.66245</v>
      </c>
      <c r="R867">
        <v>0</v>
      </c>
      <c r="S867" t="s">
        <v>18</v>
      </c>
      <c r="T867">
        <v>62166000.000003196</v>
      </c>
    </row>
    <row r="868" spans="1:20" x14ac:dyDescent="0.2">
      <c r="A868" t="s">
        <v>143</v>
      </c>
      <c r="B868" t="s">
        <v>69</v>
      </c>
      <c r="C868">
        <v>2012</v>
      </c>
      <c r="D868">
        <v>73771000.000002205</v>
      </c>
      <c r="E868">
        <v>-16063537.450603601</v>
      </c>
      <c r="F868">
        <v>19510000.000004701</v>
      </c>
      <c r="G868" t="s">
        <v>18</v>
      </c>
      <c r="H868">
        <v>32679000.0000058</v>
      </c>
      <c r="I868" t="s">
        <v>18</v>
      </c>
      <c r="J868">
        <v>6724163.4421682097</v>
      </c>
      <c r="K868">
        <v>-29650230.300712898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>
        <v>3011907.8184561599</v>
      </c>
      <c r="S868" t="s">
        <v>18</v>
      </c>
      <c r="T868">
        <v>52188999.999998502</v>
      </c>
    </row>
    <row r="869" spans="1:20" x14ac:dyDescent="0.2">
      <c r="A869" t="s">
        <v>143</v>
      </c>
      <c r="B869" t="s">
        <v>69</v>
      </c>
      <c r="C869">
        <v>2013</v>
      </c>
      <c r="D869">
        <v>37666000.000001103</v>
      </c>
      <c r="E869" t="s">
        <v>18</v>
      </c>
      <c r="F869">
        <v>15560999.999998</v>
      </c>
      <c r="G869" t="s">
        <v>18</v>
      </c>
      <c r="H869">
        <v>9470000.0000038706</v>
      </c>
      <c r="I869" t="s">
        <v>18</v>
      </c>
      <c r="J869">
        <v>20051542.4567855</v>
      </c>
      <c r="K869">
        <v>-23339661.9645008</v>
      </c>
      <c r="L869" t="s">
        <v>18</v>
      </c>
      <c r="M869">
        <v>2.1272772098223101</v>
      </c>
      <c r="N869" t="s">
        <v>18</v>
      </c>
      <c r="O869" t="s">
        <v>18</v>
      </c>
      <c r="P869">
        <v>-178.10876999999999</v>
      </c>
      <c r="Q869">
        <v>-187.51910000000001</v>
      </c>
      <c r="R869" t="s">
        <v>18</v>
      </c>
      <c r="S869" t="s">
        <v>18</v>
      </c>
      <c r="T869">
        <v>25031000.0000019</v>
      </c>
    </row>
    <row r="870" spans="1:20" x14ac:dyDescent="0.2">
      <c r="A870" t="s">
        <v>143</v>
      </c>
      <c r="B870" t="s">
        <v>69</v>
      </c>
      <c r="C870">
        <v>2014</v>
      </c>
      <c r="D870">
        <v>25481000.0000045</v>
      </c>
      <c r="E870">
        <v>6984721.7387157204</v>
      </c>
      <c r="F870">
        <v>10376000.000004301</v>
      </c>
      <c r="G870" t="s">
        <v>18</v>
      </c>
      <c r="H870">
        <v>6246000.0000028899</v>
      </c>
      <c r="I870" t="s">
        <v>18</v>
      </c>
      <c r="J870">
        <v>22508842.8686397</v>
      </c>
      <c r="K870">
        <v>-3674938.2737525902</v>
      </c>
      <c r="L870">
        <v>3.19152194554185</v>
      </c>
      <c r="M870">
        <v>27.6205911557904</v>
      </c>
      <c r="N870" t="s">
        <v>18</v>
      </c>
      <c r="O870" t="s">
        <v>18</v>
      </c>
      <c r="P870">
        <v>-9.0795300000000001</v>
      </c>
      <c r="Q870">
        <v>-17.994599999999998</v>
      </c>
      <c r="R870" t="s">
        <v>18</v>
      </c>
      <c r="S870" t="s">
        <v>18</v>
      </c>
      <c r="T870">
        <v>16621999.9999952</v>
      </c>
    </row>
    <row r="871" spans="1:20" x14ac:dyDescent="0.2">
      <c r="A871" t="s">
        <v>143</v>
      </c>
      <c r="B871" t="s">
        <v>69</v>
      </c>
      <c r="C871">
        <v>2015</v>
      </c>
      <c r="D871">
        <v>26799000.000004999</v>
      </c>
      <c r="E871" t="s">
        <v>18</v>
      </c>
      <c r="F871">
        <v>12130999.999994</v>
      </c>
      <c r="G871" t="s">
        <v>18</v>
      </c>
      <c r="H871">
        <v>6163000.0000059996</v>
      </c>
      <c r="I871" t="s">
        <v>18</v>
      </c>
      <c r="J871">
        <v>45582120.173821703</v>
      </c>
      <c r="K871">
        <v>-2516601.8868849501</v>
      </c>
      <c r="L871" t="s">
        <v>18</v>
      </c>
      <c r="M871">
        <v>-26.070866668213601</v>
      </c>
      <c r="N871" t="s">
        <v>18</v>
      </c>
      <c r="O871" t="s">
        <v>18</v>
      </c>
      <c r="P871">
        <v>-30.777519999999999</v>
      </c>
      <c r="Q871">
        <v>-49.86533</v>
      </c>
      <c r="R871">
        <v>-259966.57571934501</v>
      </c>
      <c r="S871" t="s">
        <v>18</v>
      </c>
      <c r="T871">
        <v>18294000</v>
      </c>
    </row>
    <row r="872" spans="1:20" x14ac:dyDescent="0.2">
      <c r="A872" t="s">
        <v>143</v>
      </c>
      <c r="B872" t="s">
        <v>69</v>
      </c>
      <c r="C872">
        <v>2016</v>
      </c>
      <c r="D872">
        <v>22016000.000002202</v>
      </c>
      <c r="E872" t="s">
        <v>18</v>
      </c>
      <c r="F872">
        <v>0</v>
      </c>
      <c r="G872" t="s">
        <v>18</v>
      </c>
      <c r="H872">
        <v>15695000.000006501</v>
      </c>
      <c r="I872" t="s">
        <v>18</v>
      </c>
      <c r="J872">
        <v>72540883.489732504</v>
      </c>
      <c r="K872">
        <v>-700690.96132907004</v>
      </c>
      <c r="L872" t="s">
        <v>18</v>
      </c>
      <c r="M872">
        <v>-32.277358004411198</v>
      </c>
      <c r="N872" t="s">
        <v>18</v>
      </c>
      <c r="O872" t="s">
        <v>18</v>
      </c>
      <c r="P872">
        <v>-13.20908</v>
      </c>
      <c r="Q872">
        <v>-13.515219999999999</v>
      </c>
      <c r="R872" t="s">
        <v>18</v>
      </c>
      <c r="S872" t="s">
        <v>18</v>
      </c>
      <c r="T872">
        <v>15685999.999999501</v>
      </c>
    </row>
    <row r="873" spans="1:20" x14ac:dyDescent="0.2">
      <c r="A873" t="s">
        <v>143</v>
      </c>
      <c r="B873" t="s">
        <v>69</v>
      </c>
      <c r="C873">
        <v>2017</v>
      </c>
      <c r="D873">
        <v>19314062.962597501</v>
      </c>
      <c r="E873" t="s">
        <v>18</v>
      </c>
      <c r="F873" t="s">
        <v>18</v>
      </c>
      <c r="G873">
        <v>2752781.99940788</v>
      </c>
      <c r="H873">
        <v>14768335.142603399</v>
      </c>
      <c r="I873" t="s">
        <v>18</v>
      </c>
      <c r="J873">
        <v>66679149.1325389</v>
      </c>
      <c r="K873">
        <v>-5651899.9098650804</v>
      </c>
      <c r="L873" t="s">
        <v>18</v>
      </c>
      <c r="M873">
        <v>-65.706707462936507</v>
      </c>
      <c r="N873" t="s">
        <v>18</v>
      </c>
      <c r="O873" t="s">
        <v>18</v>
      </c>
      <c r="P873">
        <v>-51.749929999999999</v>
      </c>
      <c r="Q873">
        <v>-52.276299999999999</v>
      </c>
      <c r="R873">
        <v>-8723948.6433006898</v>
      </c>
      <c r="S873" t="s">
        <v>18</v>
      </c>
      <c r="T873">
        <v>14639261.817823</v>
      </c>
    </row>
    <row r="874" spans="1:20" x14ac:dyDescent="0.2">
      <c r="A874" t="s">
        <v>143</v>
      </c>
      <c r="B874" t="s">
        <v>69</v>
      </c>
      <c r="C874">
        <v>2018</v>
      </c>
      <c r="D874">
        <v>26918186.925737798</v>
      </c>
      <c r="E874">
        <v>-4183659.1962905698</v>
      </c>
      <c r="F874" t="s">
        <v>18</v>
      </c>
      <c r="G874" t="s">
        <v>18</v>
      </c>
      <c r="H874">
        <v>23337430.534536801</v>
      </c>
      <c r="I874">
        <v>0.37755102040816402</v>
      </c>
      <c r="J874">
        <v>53052195.953430504</v>
      </c>
      <c r="K874">
        <v>-8596398.3944515493</v>
      </c>
      <c r="L874">
        <v>172.97297297297399</v>
      </c>
      <c r="M874">
        <v>-12.581843620423401</v>
      </c>
      <c r="N874" t="s">
        <v>18</v>
      </c>
      <c r="O874">
        <v>-35.492968360046099</v>
      </c>
      <c r="P874">
        <v>-319.38959</v>
      </c>
      <c r="Q874">
        <v>-324.59604999999999</v>
      </c>
      <c r="R874">
        <v>-11619710.5774379</v>
      </c>
      <c r="S874" t="s">
        <v>18</v>
      </c>
      <c r="T874">
        <v>23158336.396065298</v>
      </c>
    </row>
    <row r="875" spans="1:20" x14ac:dyDescent="0.2">
      <c r="A875" t="s">
        <v>143</v>
      </c>
      <c r="B875" t="s">
        <v>69</v>
      </c>
      <c r="C875">
        <v>2019</v>
      </c>
      <c r="D875">
        <v>21226271.0618972</v>
      </c>
      <c r="E875">
        <v>1787508.72916111</v>
      </c>
      <c r="F875" t="s">
        <v>18</v>
      </c>
      <c r="G875">
        <v>3719575.0369954598</v>
      </c>
      <c r="H875">
        <v>19251915.293157101</v>
      </c>
      <c r="I875" t="s">
        <v>18</v>
      </c>
      <c r="J875">
        <v>12006442.2693602</v>
      </c>
      <c r="K875">
        <v>-14169535.007768201</v>
      </c>
      <c r="L875" t="s">
        <v>18</v>
      </c>
      <c r="M875">
        <v>-25.594951824819201</v>
      </c>
      <c r="N875" t="s">
        <v>18</v>
      </c>
      <c r="O875" t="s">
        <v>18</v>
      </c>
      <c r="P875">
        <v>-475.75277</v>
      </c>
      <c r="Q875">
        <v>-486.60856000000001</v>
      </c>
      <c r="R875">
        <v>-10699657.492994299</v>
      </c>
      <c r="S875" t="s">
        <v>18</v>
      </c>
      <c r="T875">
        <v>19251915.293157101</v>
      </c>
    </row>
    <row r="876" spans="1:20" x14ac:dyDescent="0.2">
      <c r="A876" t="s">
        <v>143</v>
      </c>
      <c r="B876" t="s">
        <v>69</v>
      </c>
      <c r="C876">
        <v>2020</v>
      </c>
      <c r="D876">
        <v>18261090.347387999</v>
      </c>
      <c r="E876">
        <v>1212666.9009135601</v>
      </c>
      <c r="F876">
        <v>1413433.70458764</v>
      </c>
      <c r="G876">
        <v>1470207.6107133401</v>
      </c>
      <c r="H876">
        <v>14888956.8814638</v>
      </c>
      <c r="I876" t="s">
        <v>18</v>
      </c>
      <c r="J876">
        <v>157334680.45030299</v>
      </c>
      <c r="K876">
        <v>-8424910.6873625107</v>
      </c>
      <c r="L876" t="s">
        <v>18</v>
      </c>
      <c r="M876">
        <v>-24.828180400391801</v>
      </c>
      <c r="N876" t="s">
        <v>18</v>
      </c>
      <c r="O876">
        <v>9668.1121589002305</v>
      </c>
      <c r="P876">
        <v>-2892.0704799999999</v>
      </c>
      <c r="Q876">
        <v>-3059.4713700000002</v>
      </c>
      <c r="R876">
        <v>-15991399.1774057</v>
      </c>
      <c r="S876" t="s">
        <v>18</v>
      </c>
      <c r="T876">
        <v>16302390.586051401</v>
      </c>
    </row>
    <row r="877" spans="1:20" x14ac:dyDescent="0.2">
      <c r="A877" t="s">
        <v>143</v>
      </c>
      <c r="B877" t="s">
        <v>69</v>
      </c>
      <c r="C877">
        <v>2021</v>
      </c>
      <c r="D877">
        <v>56140592.0395969</v>
      </c>
      <c r="E877">
        <v>-14250188.6080724</v>
      </c>
      <c r="F877">
        <v>846374.33857008105</v>
      </c>
      <c r="G877">
        <v>24577322.559032999</v>
      </c>
      <c r="H877">
        <v>47413756.101562798</v>
      </c>
      <c r="I877">
        <v>0.69818031070569997</v>
      </c>
      <c r="J877">
        <v>109760860.226307</v>
      </c>
      <c r="K877">
        <v>-27306722.428647</v>
      </c>
      <c r="L877">
        <v>342.919132361685</v>
      </c>
      <c r="M877">
        <v>56.782214565987701</v>
      </c>
      <c r="N877" t="s">
        <v>18</v>
      </c>
      <c r="O877">
        <v>673.35050179741199</v>
      </c>
      <c r="P877">
        <v>-2683.4975399999998</v>
      </c>
      <c r="Q877">
        <v>-2825.6157600000001</v>
      </c>
      <c r="R877">
        <v>-17798194.751306798</v>
      </c>
      <c r="S877">
        <v>100</v>
      </c>
      <c r="T877">
        <v>48260130.440132901</v>
      </c>
    </row>
    <row r="878" spans="1:20" x14ac:dyDescent="0.2">
      <c r="A878" t="s">
        <v>143</v>
      </c>
      <c r="B878" t="s">
        <v>69</v>
      </c>
      <c r="C878">
        <v>2022</v>
      </c>
      <c r="D878">
        <v>79309236.366096199</v>
      </c>
      <c r="E878">
        <v>-1641188014.7606399</v>
      </c>
      <c r="F878">
        <v>916374.48420483002</v>
      </c>
      <c r="G878">
        <v>31364999.3911926</v>
      </c>
      <c r="H878">
        <v>60980556.585266903</v>
      </c>
      <c r="I878">
        <v>101.00043758967701</v>
      </c>
      <c r="J878">
        <v>47199898.277356699</v>
      </c>
      <c r="K878">
        <v>-24858494.074925799</v>
      </c>
      <c r="L878">
        <v>72.615792626039095</v>
      </c>
      <c r="M878">
        <v>66.343316165550604</v>
      </c>
      <c r="N878" t="s">
        <v>18</v>
      </c>
      <c r="O878">
        <v>34.900035773225802</v>
      </c>
      <c r="P878">
        <v>-656.54630999999995</v>
      </c>
      <c r="Q878">
        <v>-679.37206000000003</v>
      </c>
      <c r="R878">
        <v>-21243741.0702575</v>
      </c>
      <c r="S878">
        <v>100</v>
      </c>
      <c r="T878">
        <v>61896931.069471702</v>
      </c>
    </row>
    <row r="879" spans="1:20" x14ac:dyDescent="0.2">
      <c r="A879" t="s">
        <v>143</v>
      </c>
      <c r="B879" t="s">
        <v>69</v>
      </c>
      <c r="C879">
        <v>2023</v>
      </c>
      <c r="D879">
        <v>60004383.959353998</v>
      </c>
      <c r="E879">
        <v>-5866859.8292894401</v>
      </c>
      <c r="F879">
        <v>1931760.23710155</v>
      </c>
      <c r="G879">
        <v>5806584.1650033304</v>
      </c>
      <c r="H879">
        <v>38872577.269703001</v>
      </c>
      <c r="I879">
        <v>0.267929900667839</v>
      </c>
      <c r="J879">
        <v>65785572.664239399</v>
      </c>
      <c r="K879">
        <v>-21746993.626733799</v>
      </c>
      <c r="L879">
        <v>78.377010238484303</v>
      </c>
      <c r="M879">
        <v>8.9598424141319697</v>
      </c>
      <c r="N879">
        <v>19.603102901798401</v>
      </c>
      <c r="O879">
        <v>-29.681437823478898</v>
      </c>
      <c r="P879">
        <v>-596.84103000000005</v>
      </c>
      <c r="Q879">
        <v>-642.69700999999998</v>
      </c>
      <c r="R879">
        <v>-21230644.527683701</v>
      </c>
      <c r="S879">
        <v>100</v>
      </c>
      <c r="T879">
        <v>40804337.5068046</v>
      </c>
    </row>
    <row r="880" spans="1:20" x14ac:dyDescent="0.2">
      <c r="A880" t="s">
        <v>143</v>
      </c>
      <c r="B880" t="s">
        <v>69</v>
      </c>
      <c r="C880">
        <v>2024</v>
      </c>
      <c r="D880">
        <v>48408594.722572297</v>
      </c>
      <c r="E880">
        <v>-46910213.645724699</v>
      </c>
      <c r="F880">
        <v>1794705.10813253</v>
      </c>
      <c r="G880">
        <v>5783194.9949720604</v>
      </c>
      <c r="H880">
        <v>39000233.818306804</v>
      </c>
      <c r="I880">
        <v>1.8825832721497699</v>
      </c>
      <c r="J880">
        <v>62349251.991139799</v>
      </c>
      <c r="K880">
        <v>-26658384.371233299</v>
      </c>
      <c r="L880">
        <v>445.73601653848198</v>
      </c>
      <c r="M880">
        <v>22.201763511752802</v>
      </c>
      <c r="N880">
        <v>15.295079372435501</v>
      </c>
      <c r="O880">
        <v>110.754410392685</v>
      </c>
      <c r="P880">
        <v>-104.41698</v>
      </c>
      <c r="Q880">
        <v>-110.77888</v>
      </c>
      <c r="R880">
        <v>-26249378.065741301</v>
      </c>
      <c r="S880">
        <v>100</v>
      </c>
      <c r="T880">
        <v>40794938.9264393</v>
      </c>
    </row>
    <row r="881" spans="1:20" x14ac:dyDescent="0.2">
      <c r="A881" t="s">
        <v>143</v>
      </c>
      <c r="B881" t="s">
        <v>69</v>
      </c>
      <c r="C881">
        <v>2025</v>
      </c>
      <c r="D881">
        <v>91309150.506693393</v>
      </c>
      <c r="E881">
        <v>-23717513.743464299</v>
      </c>
      <c r="F881">
        <v>2048292.8812711099</v>
      </c>
      <c r="G881">
        <v>42720501.438758902</v>
      </c>
      <c r="H881">
        <v>79356545.852621004</v>
      </c>
      <c r="I881">
        <v>1.7555047949409199</v>
      </c>
      <c r="J881">
        <v>119714096.14472499</v>
      </c>
      <c r="K881">
        <v>-26932215.0865543</v>
      </c>
      <c r="L881">
        <v>230.56142051736401</v>
      </c>
      <c r="M881">
        <v>193.24134934391401</v>
      </c>
      <c r="N881">
        <v>11.753484983820201</v>
      </c>
      <c r="O881">
        <v>542.30174215832301</v>
      </c>
      <c r="P881">
        <v>-470.88733999999999</v>
      </c>
      <c r="Q881">
        <v>-498.44466999999997</v>
      </c>
      <c r="R881">
        <v>-24351041.569378</v>
      </c>
      <c r="S881">
        <v>100</v>
      </c>
      <c r="T881">
        <v>81404838.733892202</v>
      </c>
    </row>
    <row r="882" spans="1:20" x14ac:dyDescent="0.2">
      <c r="A882" t="s">
        <v>136</v>
      </c>
      <c r="B882" t="s">
        <v>73</v>
      </c>
      <c r="C882">
        <v>2004</v>
      </c>
      <c r="D882">
        <v>10008582000</v>
      </c>
      <c r="E882">
        <v>2670861860</v>
      </c>
      <c r="F882">
        <v>2471573000</v>
      </c>
      <c r="G882">
        <v>105690000</v>
      </c>
      <c r="H882">
        <v>4307599000</v>
      </c>
      <c r="I882" t="s">
        <v>18</v>
      </c>
      <c r="J882">
        <v>9703306273.7606201</v>
      </c>
      <c r="K882">
        <v>612481000</v>
      </c>
      <c r="L882" t="s">
        <v>18</v>
      </c>
      <c r="M882">
        <v>12.569134033912899</v>
      </c>
      <c r="N882" t="s">
        <v>18</v>
      </c>
      <c r="O882" t="s">
        <v>18</v>
      </c>
      <c r="P882">
        <v>22.118279999999999</v>
      </c>
      <c r="Q882">
        <v>14.056100000000001</v>
      </c>
      <c r="R882">
        <v>931164000</v>
      </c>
      <c r="S882" t="s">
        <v>18</v>
      </c>
      <c r="T882">
        <v>6990998000</v>
      </c>
    </row>
    <row r="883" spans="1:20" x14ac:dyDescent="0.2">
      <c r="A883" t="s">
        <v>136</v>
      </c>
      <c r="B883" t="s">
        <v>73</v>
      </c>
      <c r="C883">
        <v>2005</v>
      </c>
      <c r="D883">
        <v>10997000000</v>
      </c>
      <c r="E883">
        <v>3353583600</v>
      </c>
      <c r="F883">
        <v>3137000000</v>
      </c>
      <c r="G883">
        <v>206000000</v>
      </c>
      <c r="H883">
        <v>4571000000</v>
      </c>
      <c r="I883" t="s">
        <v>18</v>
      </c>
      <c r="J883">
        <v>10424225974.973801</v>
      </c>
      <c r="K883">
        <v>634000000</v>
      </c>
      <c r="L883" t="s">
        <v>18</v>
      </c>
      <c r="M883">
        <v>4.4569391631348498</v>
      </c>
      <c r="N883" t="s">
        <v>18</v>
      </c>
      <c r="O883" t="s">
        <v>18</v>
      </c>
      <c r="P883">
        <v>20.447030000000002</v>
      </c>
      <c r="Q883">
        <v>13.568390000000001</v>
      </c>
      <c r="R883">
        <v>1028424440</v>
      </c>
      <c r="S883" t="s">
        <v>18</v>
      </c>
      <c r="T883">
        <v>7928000000</v>
      </c>
    </row>
    <row r="884" spans="1:20" x14ac:dyDescent="0.2">
      <c r="A884" t="s">
        <v>136</v>
      </c>
      <c r="B884" t="s">
        <v>73</v>
      </c>
      <c r="C884">
        <v>2006</v>
      </c>
      <c r="D884">
        <v>13712000000</v>
      </c>
      <c r="E884">
        <v>3784827600</v>
      </c>
      <c r="F884">
        <v>4084000000</v>
      </c>
      <c r="G884">
        <v>201000000</v>
      </c>
      <c r="H884">
        <v>5411000000</v>
      </c>
      <c r="I884" t="s">
        <v>18</v>
      </c>
      <c r="J884">
        <v>13388503481.7439</v>
      </c>
      <c r="K884">
        <v>793000000</v>
      </c>
      <c r="L884" t="s">
        <v>18</v>
      </c>
      <c r="M884">
        <v>1.4659226165385999</v>
      </c>
      <c r="N884">
        <v>59.583923585800903</v>
      </c>
      <c r="O884" t="s">
        <v>18</v>
      </c>
      <c r="P884">
        <v>17.232189999999999</v>
      </c>
      <c r="Q884">
        <v>11.221769999999999</v>
      </c>
      <c r="R884">
        <v>1262366860</v>
      </c>
      <c r="S884" t="s">
        <v>18</v>
      </c>
      <c r="T884">
        <v>9850000000</v>
      </c>
    </row>
    <row r="885" spans="1:20" x14ac:dyDescent="0.2">
      <c r="A885" t="s">
        <v>136</v>
      </c>
      <c r="B885" t="s">
        <v>73</v>
      </c>
      <c r="C885">
        <v>2007</v>
      </c>
      <c r="D885">
        <v>13355000000</v>
      </c>
      <c r="E885">
        <v>3575913940</v>
      </c>
      <c r="F885">
        <v>3477000000</v>
      </c>
      <c r="G885">
        <v>127000000</v>
      </c>
      <c r="H885">
        <v>5652000000</v>
      </c>
      <c r="I885" t="s">
        <v>18</v>
      </c>
      <c r="J885">
        <v>18837937645.0098</v>
      </c>
      <c r="K885">
        <v>924000000</v>
      </c>
      <c r="L885" t="s">
        <v>18</v>
      </c>
      <c r="M885">
        <v>3.6340061096823</v>
      </c>
      <c r="N885">
        <v>56.033500356664398</v>
      </c>
      <c r="O885" t="s">
        <v>18</v>
      </c>
      <c r="P885">
        <v>17.713899999999999</v>
      </c>
      <c r="Q885">
        <v>12.06073</v>
      </c>
      <c r="R885">
        <v>1588124050</v>
      </c>
      <c r="S885" t="s">
        <v>18</v>
      </c>
      <c r="T885">
        <v>9473000000</v>
      </c>
    </row>
    <row r="886" spans="1:20" x14ac:dyDescent="0.2">
      <c r="A886" t="s">
        <v>136</v>
      </c>
      <c r="B886" t="s">
        <v>73</v>
      </c>
      <c r="C886">
        <v>2008</v>
      </c>
      <c r="D886">
        <v>15420000000</v>
      </c>
      <c r="E886">
        <v>4430933620</v>
      </c>
      <c r="F886">
        <v>4422000000</v>
      </c>
      <c r="G886">
        <v>152000000</v>
      </c>
      <c r="H886">
        <v>6070000000</v>
      </c>
      <c r="I886" t="s">
        <v>18</v>
      </c>
      <c r="J886">
        <v>8937609271.9100704</v>
      </c>
      <c r="K886">
        <v>1048000000</v>
      </c>
      <c r="L886" t="s">
        <v>18</v>
      </c>
      <c r="M886">
        <v>4.8091387870514497</v>
      </c>
      <c r="N886">
        <v>63.9427199451208</v>
      </c>
      <c r="O886" t="s">
        <v>18</v>
      </c>
      <c r="P886">
        <v>21.80067</v>
      </c>
      <c r="Q886">
        <v>15.402010000000001</v>
      </c>
      <c r="R886">
        <v>1834789700</v>
      </c>
      <c r="S886" t="s">
        <v>18</v>
      </c>
      <c r="T886">
        <v>10849000000</v>
      </c>
    </row>
    <row r="887" spans="1:20" x14ac:dyDescent="0.2">
      <c r="A887" t="s">
        <v>136</v>
      </c>
      <c r="B887" t="s">
        <v>73</v>
      </c>
      <c r="C887">
        <v>2009</v>
      </c>
      <c r="D887">
        <v>18765000000</v>
      </c>
      <c r="E887">
        <v>18955975110</v>
      </c>
      <c r="F887">
        <v>5793000000</v>
      </c>
      <c r="G887">
        <v>122000000</v>
      </c>
      <c r="H887">
        <v>6376000000</v>
      </c>
      <c r="I887" t="s">
        <v>18</v>
      </c>
      <c r="J887">
        <v>12987555019.6117</v>
      </c>
      <c r="K887">
        <v>1166000000</v>
      </c>
      <c r="L887" t="s">
        <v>18</v>
      </c>
      <c r="M887">
        <v>-3.0175019882116598</v>
      </c>
      <c r="N887">
        <v>61.397708019377902</v>
      </c>
      <c r="O887" t="s">
        <v>18</v>
      </c>
      <c r="P887">
        <v>18.86487</v>
      </c>
      <c r="Q887">
        <v>12.762829999999999</v>
      </c>
      <c r="R887">
        <v>2779139210</v>
      </c>
      <c r="S887">
        <v>1.0223</v>
      </c>
      <c r="T887">
        <v>12514000000</v>
      </c>
    </row>
    <row r="888" spans="1:20" x14ac:dyDescent="0.2">
      <c r="A888" t="s">
        <v>136</v>
      </c>
      <c r="B888" t="s">
        <v>73</v>
      </c>
      <c r="C888">
        <v>2010</v>
      </c>
      <c r="D888">
        <v>45167000000</v>
      </c>
      <c r="E888">
        <v>18535947100</v>
      </c>
      <c r="F888">
        <v>22002000000</v>
      </c>
      <c r="G888">
        <v>589000000</v>
      </c>
      <c r="H888">
        <v>10681000000</v>
      </c>
      <c r="I888" t="s">
        <v>18</v>
      </c>
      <c r="J888">
        <v>10070194229.462299</v>
      </c>
      <c r="K888">
        <v>1292000000</v>
      </c>
      <c r="L888" t="s">
        <v>18</v>
      </c>
      <c r="M888">
        <v>12.040333432430399</v>
      </c>
      <c r="N888">
        <v>58.155215263362798</v>
      </c>
      <c r="O888" t="s">
        <v>18</v>
      </c>
      <c r="P888">
        <v>26.855969999999999</v>
      </c>
      <c r="Q888">
        <v>16.221060000000001</v>
      </c>
      <c r="R888">
        <v>2843710170</v>
      </c>
      <c r="S888">
        <v>5.1069000000000004</v>
      </c>
      <c r="T888">
        <v>34179000000</v>
      </c>
    </row>
    <row r="889" spans="1:20" x14ac:dyDescent="0.2">
      <c r="A889" t="s">
        <v>136</v>
      </c>
      <c r="B889" t="s">
        <v>73</v>
      </c>
      <c r="C889">
        <v>2011</v>
      </c>
      <c r="D889">
        <v>45343000000</v>
      </c>
      <c r="E889">
        <v>16878079960</v>
      </c>
      <c r="F889">
        <v>20705000000</v>
      </c>
      <c r="G889">
        <v>1203000000</v>
      </c>
      <c r="H889">
        <v>11384000000</v>
      </c>
      <c r="I889" t="s">
        <v>18</v>
      </c>
      <c r="J889">
        <v>12901654205.896999</v>
      </c>
      <c r="K889">
        <v>1410000000</v>
      </c>
      <c r="L889" t="s">
        <v>18</v>
      </c>
      <c r="M889">
        <v>6.0646423903395696</v>
      </c>
      <c r="N889">
        <v>68.321447174083303</v>
      </c>
      <c r="O889" t="s">
        <v>18</v>
      </c>
      <c r="P889">
        <v>23.174779999999998</v>
      </c>
      <c r="Q889">
        <v>14.54646</v>
      </c>
      <c r="R889">
        <v>2847149330</v>
      </c>
      <c r="S889">
        <v>6.9596999999999998</v>
      </c>
      <c r="T889">
        <v>33679000000</v>
      </c>
    </row>
    <row r="890" spans="1:20" x14ac:dyDescent="0.2">
      <c r="A890" t="s">
        <v>136</v>
      </c>
      <c r="B890" t="s">
        <v>73</v>
      </c>
      <c r="C890">
        <v>2012</v>
      </c>
      <c r="D890">
        <v>46502000000</v>
      </c>
      <c r="E890">
        <v>16027142860</v>
      </c>
      <c r="F890">
        <v>21017000000</v>
      </c>
      <c r="G890">
        <v>3098000000</v>
      </c>
      <c r="H890">
        <v>12792000000</v>
      </c>
      <c r="I890" t="s">
        <v>18</v>
      </c>
      <c r="J890">
        <v>11943227284.834999</v>
      </c>
      <c r="K890">
        <v>1519000000</v>
      </c>
      <c r="L890" t="s">
        <v>18</v>
      </c>
      <c r="M890">
        <v>4.6684005713736099</v>
      </c>
      <c r="N890">
        <v>74.1813462100408</v>
      </c>
      <c r="O890" t="s">
        <v>18</v>
      </c>
      <c r="P890">
        <v>22.058199999999999</v>
      </c>
      <c r="Q890">
        <v>13.81039</v>
      </c>
      <c r="R890">
        <v>3019054090</v>
      </c>
      <c r="S890">
        <v>5.57</v>
      </c>
      <c r="T890">
        <v>35458000000</v>
      </c>
    </row>
    <row r="891" spans="1:20" x14ac:dyDescent="0.2">
      <c r="A891" t="s">
        <v>136</v>
      </c>
      <c r="B891" t="s">
        <v>73</v>
      </c>
      <c r="C891">
        <v>2013</v>
      </c>
      <c r="D891">
        <v>46887000000</v>
      </c>
      <c r="E891">
        <v>14454884480</v>
      </c>
      <c r="F891">
        <v>21037000000</v>
      </c>
      <c r="G891">
        <v>4434000000</v>
      </c>
      <c r="H891">
        <v>13261000000</v>
      </c>
      <c r="I891" t="s">
        <v>18</v>
      </c>
      <c r="J891">
        <v>18332628727.119999</v>
      </c>
      <c r="K891">
        <v>1647000000</v>
      </c>
      <c r="L891" t="s">
        <v>18</v>
      </c>
      <c r="M891">
        <v>4.88988852625896</v>
      </c>
      <c r="N891">
        <v>76.703873039944995</v>
      </c>
      <c r="O891" t="s">
        <v>18</v>
      </c>
      <c r="P891">
        <v>19.53501</v>
      </c>
      <c r="Q891">
        <v>12.315289999999999</v>
      </c>
      <c r="R891">
        <v>2938238580</v>
      </c>
      <c r="S891">
        <v>4.7397999999999998</v>
      </c>
      <c r="T891">
        <v>35916000000</v>
      </c>
    </row>
    <row r="892" spans="1:20" x14ac:dyDescent="0.2">
      <c r="A892" t="s">
        <v>136</v>
      </c>
      <c r="B892" t="s">
        <v>73</v>
      </c>
      <c r="C892">
        <v>2014</v>
      </c>
      <c r="D892">
        <v>43511000000</v>
      </c>
      <c r="E892">
        <v>14308489800</v>
      </c>
      <c r="F892">
        <v>18843000000</v>
      </c>
      <c r="G892">
        <v>4172000000</v>
      </c>
      <c r="H892">
        <v>13444000000</v>
      </c>
      <c r="I892">
        <v>3.088411684639</v>
      </c>
      <c r="J892">
        <v>22555537746.139999</v>
      </c>
      <c r="K892">
        <v>1720000000</v>
      </c>
      <c r="L892">
        <v>9.8054710874478506</v>
      </c>
      <c r="M892">
        <v>4.8848971431088204</v>
      </c>
      <c r="N892">
        <v>77.421972536114794</v>
      </c>
      <c r="O892">
        <v>83.351037735849104</v>
      </c>
      <c r="P892">
        <v>19.052710000000001</v>
      </c>
      <c r="Q892">
        <v>12.42497</v>
      </c>
      <c r="R892">
        <v>2961799560</v>
      </c>
      <c r="S892">
        <v>6.1798999999999999</v>
      </c>
      <c r="T892">
        <v>33810000000</v>
      </c>
    </row>
    <row r="893" spans="1:20" x14ac:dyDescent="0.2">
      <c r="A893" t="s">
        <v>136</v>
      </c>
      <c r="B893" t="s">
        <v>73</v>
      </c>
      <c r="C893">
        <v>2015</v>
      </c>
      <c r="D893">
        <v>50328000000</v>
      </c>
      <c r="E893">
        <v>15937969950</v>
      </c>
      <c r="F893">
        <v>21081000000</v>
      </c>
      <c r="G893">
        <v>3572000000</v>
      </c>
      <c r="H893">
        <v>14141000000</v>
      </c>
      <c r="I893">
        <v>3.0160330519150902</v>
      </c>
      <c r="J893">
        <v>20399052216.285</v>
      </c>
      <c r="K893">
        <v>2130000000</v>
      </c>
      <c r="L893">
        <v>1.82281837105481</v>
      </c>
      <c r="M893">
        <v>-5.46514590375231</v>
      </c>
      <c r="N893">
        <v>77.837284232672303</v>
      </c>
      <c r="O893">
        <v>31.600527716186299</v>
      </c>
      <c r="P893">
        <v>19.45176</v>
      </c>
      <c r="Q893">
        <v>12.8963</v>
      </c>
      <c r="R893">
        <v>3267841710</v>
      </c>
      <c r="S893">
        <v>5.7426000000000004</v>
      </c>
      <c r="T893">
        <v>39101000000</v>
      </c>
    </row>
    <row r="894" spans="1:20" x14ac:dyDescent="0.2">
      <c r="A894" t="s">
        <v>136</v>
      </c>
      <c r="B894" t="s">
        <v>73</v>
      </c>
      <c r="C894">
        <v>2016</v>
      </c>
      <c r="D894">
        <v>48132000000</v>
      </c>
      <c r="E894">
        <v>15713752420</v>
      </c>
      <c r="F894">
        <v>18715000000</v>
      </c>
      <c r="G894">
        <v>2390000000</v>
      </c>
      <c r="H894">
        <v>14367000000</v>
      </c>
      <c r="I894">
        <v>3.2030509908754601</v>
      </c>
      <c r="J894">
        <v>16056060476.344999</v>
      </c>
      <c r="K894">
        <v>1794000000</v>
      </c>
      <c r="L894">
        <v>4.5060035236329297</v>
      </c>
      <c r="M894">
        <v>4.1574402380691202</v>
      </c>
      <c r="N894">
        <v>78.923959425911704</v>
      </c>
      <c r="O894">
        <v>12.0162053854277</v>
      </c>
      <c r="P894">
        <v>19.41957</v>
      </c>
      <c r="Q894">
        <v>12.535080000000001</v>
      </c>
      <c r="R894">
        <v>2967324630</v>
      </c>
      <c r="S894">
        <v>4.8929</v>
      </c>
      <c r="T894">
        <v>37233000000</v>
      </c>
    </row>
    <row r="895" spans="1:20" x14ac:dyDescent="0.2">
      <c r="A895" t="s">
        <v>136</v>
      </c>
      <c r="B895" t="s">
        <v>73</v>
      </c>
      <c r="C895">
        <v>2017</v>
      </c>
      <c r="D895">
        <v>47114000000</v>
      </c>
      <c r="E895">
        <v>15095968850</v>
      </c>
      <c r="F895">
        <v>18590000000</v>
      </c>
      <c r="G895">
        <v>2067000000</v>
      </c>
      <c r="H895">
        <v>15225000000</v>
      </c>
      <c r="I895">
        <v>3.3626843177066799</v>
      </c>
      <c r="J895">
        <v>18647845869.535</v>
      </c>
      <c r="K895">
        <v>1616000000</v>
      </c>
      <c r="L895">
        <v>2.4270651523860298</v>
      </c>
      <c r="M895">
        <v>8.0772122377889701</v>
      </c>
      <c r="N895">
        <v>78.697426096875404</v>
      </c>
      <c r="O895">
        <v>-11.442643809523799</v>
      </c>
      <c r="P895">
        <v>21.672450000000001</v>
      </c>
      <c r="Q895">
        <v>12.383599999999999</v>
      </c>
      <c r="R895">
        <v>2717241700</v>
      </c>
      <c r="S895">
        <v>2.3746999999999998</v>
      </c>
      <c r="T895">
        <v>37595000000</v>
      </c>
    </row>
    <row r="896" spans="1:20" x14ac:dyDescent="0.2">
      <c r="A896" t="s">
        <v>136</v>
      </c>
      <c r="B896" t="s">
        <v>73</v>
      </c>
      <c r="C896">
        <v>2018</v>
      </c>
      <c r="D896">
        <v>47322000000</v>
      </c>
      <c r="E896">
        <v>13558504160</v>
      </c>
      <c r="F896">
        <v>19343000000</v>
      </c>
      <c r="G896">
        <v>3225000000</v>
      </c>
      <c r="H896">
        <v>14734000000</v>
      </c>
      <c r="I896">
        <v>3.25379422124883</v>
      </c>
      <c r="J896">
        <v>21865062100.849998</v>
      </c>
      <c r="K896">
        <v>1235000000</v>
      </c>
      <c r="L896">
        <v>6.1304088402969796</v>
      </c>
      <c r="M896">
        <v>4.2456464736267501</v>
      </c>
      <c r="N896">
        <v>79.272638371441801</v>
      </c>
      <c r="O896">
        <v>-23.5850716666667</v>
      </c>
      <c r="P896">
        <v>16.370059999999999</v>
      </c>
      <c r="Q896">
        <v>9.0705399999999994</v>
      </c>
      <c r="R896">
        <v>2543130070</v>
      </c>
      <c r="S896">
        <v>2.3759000000000001</v>
      </c>
      <c r="T896">
        <v>37648000000</v>
      </c>
    </row>
    <row r="897" spans="1:20" x14ac:dyDescent="0.2">
      <c r="A897" t="s">
        <v>136</v>
      </c>
      <c r="B897" t="s">
        <v>73</v>
      </c>
      <c r="C897">
        <v>2019</v>
      </c>
      <c r="D897">
        <v>40631000000</v>
      </c>
      <c r="E897">
        <v>15363905180</v>
      </c>
      <c r="F897">
        <v>16664000000</v>
      </c>
      <c r="G897">
        <v>1716000000</v>
      </c>
      <c r="H897">
        <v>10948000000</v>
      </c>
      <c r="I897">
        <v>3.53641677785824</v>
      </c>
      <c r="J897">
        <v>23225282645.599998</v>
      </c>
      <c r="K897">
        <v>-2073000000</v>
      </c>
      <c r="L897">
        <v>3.8592845624270802</v>
      </c>
      <c r="M897">
        <v>5.5360777335745199</v>
      </c>
      <c r="N897">
        <v>78.268718643552702</v>
      </c>
      <c r="O897">
        <v>2.2929170353982302</v>
      </c>
      <c r="P897">
        <v>8.5541699999999992</v>
      </c>
      <c r="Q897">
        <v>8.5541699999999992</v>
      </c>
      <c r="R897">
        <v>2812430580</v>
      </c>
      <c r="S897">
        <v>2.4685000000000001</v>
      </c>
      <c r="T897">
        <v>31259000000</v>
      </c>
    </row>
    <row r="898" spans="1:20" x14ac:dyDescent="0.2">
      <c r="A898" t="s">
        <v>136</v>
      </c>
      <c r="B898" t="s">
        <v>73</v>
      </c>
      <c r="C898">
        <v>2020</v>
      </c>
      <c r="D898">
        <v>41138000000</v>
      </c>
      <c r="E898">
        <v>15787421750</v>
      </c>
      <c r="F898">
        <v>17860000000</v>
      </c>
      <c r="G898">
        <v>2685000000</v>
      </c>
      <c r="H898">
        <v>10551000000</v>
      </c>
      <c r="I898">
        <v>4.1249606275349802</v>
      </c>
      <c r="J898">
        <v>18752330911.34</v>
      </c>
      <c r="K898">
        <v>1623000000</v>
      </c>
      <c r="L898">
        <v>5.1470752365838797</v>
      </c>
      <c r="M898">
        <v>6.4456266226596597</v>
      </c>
      <c r="N898">
        <v>78.640645429676496</v>
      </c>
      <c r="O898">
        <v>-28.752195781503499</v>
      </c>
      <c r="P898">
        <v>20.51924</v>
      </c>
      <c r="Q898">
        <v>12.773949999999999</v>
      </c>
      <c r="R898">
        <v>2169056280</v>
      </c>
      <c r="S898">
        <v>3.1160999999999999</v>
      </c>
      <c r="T898">
        <v>31836000000</v>
      </c>
    </row>
    <row r="899" spans="1:20" x14ac:dyDescent="0.2">
      <c r="A899" t="s">
        <v>136</v>
      </c>
      <c r="B899" t="s">
        <v>73</v>
      </c>
      <c r="C899">
        <v>2021</v>
      </c>
      <c r="D899">
        <v>39545000000</v>
      </c>
      <c r="E899">
        <v>12322074870</v>
      </c>
      <c r="F899">
        <v>17359000000</v>
      </c>
      <c r="G899">
        <v>3927000000</v>
      </c>
      <c r="H899">
        <v>8028000000</v>
      </c>
      <c r="I899">
        <v>3.3630362534459</v>
      </c>
      <c r="J899">
        <v>23813714952.560001</v>
      </c>
      <c r="K899">
        <v>-91000000</v>
      </c>
      <c r="L899">
        <v>-3.49678588532726</v>
      </c>
      <c r="M899">
        <v>-4.8905868939941897</v>
      </c>
      <c r="N899">
        <v>81.242166517320996</v>
      </c>
      <c r="O899">
        <v>22.7094118046133</v>
      </c>
      <c r="P899">
        <v>21.54448</v>
      </c>
      <c r="Q899">
        <v>11.86054</v>
      </c>
      <c r="R899">
        <v>2215437820</v>
      </c>
      <c r="S899">
        <v>2.6913999999999998</v>
      </c>
      <c r="T899">
        <v>28624000000</v>
      </c>
    </row>
    <row r="900" spans="1:20" x14ac:dyDescent="0.2">
      <c r="A900" t="s">
        <v>136</v>
      </c>
      <c r="B900" t="s">
        <v>73</v>
      </c>
      <c r="C900">
        <v>2022</v>
      </c>
      <c r="D900">
        <v>38249000000</v>
      </c>
      <c r="E900">
        <v>13180389460</v>
      </c>
      <c r="F900">
        <v>16705000000</v>
      </c>
      <c r="G900">
        <v>3965000000</v>
      </c>
      <c r="H900">
        <v>5889000000</v>
      </c>
      <c r="I900">
        <v>2.8247507556029099</v>
      </c>
      <c r="J900">
        <v>26053522832.869999</v>
      </c>
      <c r="K900">
        <v>1349000000</v>
      </c>
      <c r="L900">
        <v>-13.1623022661239</v>
      </c>
      <c r="M900">
        <v>-39.853420815100897</v>
      </c>
      <c r="N900">
        <v>76.718446331311299</v>
      </c>
      <c r="O900">
        <v>900.70620118343197</v>
      </c>
      <c r="P900">
        <v>16.070460000000001</v>
      </c>
      <c r="Q900">
        <v>9.5438100000000006</v>
      </c>
      <c r="R900">
        <v>2619930600</v>
      </c>
      <c r="S900">
        <v>1.3098000000000001</v>
      </c>
      <c r="T900">
        <v>25578000000</v>
      </c>
    </row>
    <row r="901" spans="1:20" x14ac:dyDescent="0.2">
      <c r="A901" t="s">
        <v>136</v>
      </c>
      <c r="B901" t="s">
        <v>73</v>
      </c>
      <c r="C901">
        <v>2023</v>
      </c>
      <c r="D901">
        <v>40390000000</v>
      </c>
      <c r="E901">
        <v>12822675600</v>
      </c>
      <c r="F901">
        <v>16276000000</v>
      </c>
      <c r="G901">
        <v>3985000000</v>
      </c>
      <c r="H901">
        <v>7574000000</v>
      </c>
      <c r="I901">
        <v>2.3516994408526601</v>
      </c>
      <c r="J901">
        <v>26644987251.48</v>
      </c>
      <c r="K901">
        <v>1721000000</v>
      </c>
      <c r="L901">
        <v>-8.2439455770694305</v>
      </c>
      <c r="M901">
        <v>-1.0006613387008401</v>
      </c>
      <c r="N901">
        <v>76.333895041652596</v>
      </c>
      <c r="O901">
        <v>1447.5608395061699</v>
      </c>
      <c r="P901">
        <v>13.90549</v>
      </c>
      <c r="Q901">
        <v>9.8307099999999998</v>
      </c>
      <c r="R901">
        <v>3472020570</v>
      </c>
      <c r="S901">
        <v>1.0923</v>
      </c>
      <c r="T901">
        <v>26255000000</v>
      </c>
    </row>
    <row r="902" spans="1:20" x14ac:dyDescent="0.2">
      <c r="A902" t="s">
        <v>136</v>
      </c>
      <c r="B902" t="s">
        <v>73</v>
      </c>
      <c r="C902">
        <v>2024</v>
      </c>
      <c r="D902">
        <v>37893000000</v>
      </c>
      <c r="E902">
        <v>12789469000</v>
      </c>
      <c r="F902">
        <v>15964000000</v>
      </c>
      <c r="G902">
        <v>3686000000</v>
      </c>
      <c r="H902">
        <v>9448000000</v>
      </c>
      <c r="I902">
        <v>2.34145269287295</v>
      </c>
      <c r="J902">
        <v>22611393839.32</v>
      </c>
      <c r="K902">
        <v>2184000000</v>
      </c>
      <c r="L902">
        <v>-0.79748891485124995</v>
      </c>
      <c r="M902">
        <v>6.0392965133225296</v>
      </c>
      <c r="N902">
        <v>74.753854521549101</v>
      </c>
      <c r="O902">
        <v>10260.010739130401</v>
      </c>
      <c r="P902">
        <v>23.14631</v>
      </c>
      <c r="Q902">
        <v>16.717510000000001</v>
      </c>
      <c r="R902">
        <v>3483421690</v>
      </c>
      <c r="S902">
        <v>3.6433</v>
      </c>
      <c r="T902">
        <v>27893000000</v>
      </c>
    </row>
    <row r="903" spans="1:20" x14ac:dyDescent="0.2">
      <c r="A903" t="s">
        <v>136</v>
      </c>
      <c r="B903" t="s">
        <v>73</v>
      </c>
      <c r="C903">
        <v>2025</v>
      </c>
      <c r="D903">
        <v>40836000000</v>
      </c>
      <c r="E903">
        <v>13484211850</v>
      </c>
      <c r="F903">
        <v>17989000000</v>
      </c>
      <c r="G903">
        <v>5626000000</v>
      </c>
      <c r="H903">
        <v>9478000000</v>
      </c>
      <c r="I903">
        <v>2.4540897447061898</v>
      </c>
      <c r="J903">
        <v>25752942554.560001</v>
      </c>
      <c r="K903">
        <v>2249000000</v>
      </c>
      <c r="L903">
        <v>-6.30876806854417</v>
      </c>
      <c r="M903">
        <v>3.5091230454575202</v>
      </c>
      <c r="N903">
        <v>71.975387759848203</v>
      </c>
      <c r="O903">
        <v>-3.0817127901684098</v>
      </c>
      <c r="P903">
        <v>28.42165</v>
      </c>
      <c r="Q903">
        <v>20.418330000000001</v>
      </c>
      <c r="R903">
        <v>3581734200</v>
      </c>
      <c r="S903">
        <v>4.8216999999999999</v>
      </c>
      <c r="T903">
        <v>29642000000</v>
      </c>
    </row>
    <row r="904" spans="1:20" x14ac:dyDescent="0.2">
      <c r="A904" t="s">
        <v>137</v>
      </c>
      <c r="B904" t="s">
        <v>74</v>
      </c>
      <c r="C904">
        <v>2004</v>
      </c>
      <c r="D904">
        <v>2973320000</v>
      </c>
      <c r="E904">
        <v>985469000</v>
      </c>
      <c r="F904">
        <v>1351672000</v>
      </c>
      <c r="G904">
        <v>125167000</v>
      </c>
      <c r="H904">
        <v>609672000</v>
      </c>
      <c r="I904" t="s">
        <v>18</v>
      </c>
      <c r="J904">
        <v>747854500</v>
      </c>
      <c r="K904">
        <v>28728000</v>
      </c>
      <c r="L904" t="s">
        <v>18</v>
      </c>
      <c r="M904">
        <v>27.142023115552501</v>
      </c>
      <c r="N904" t="s">
        <v>18</v>
      </c>
      <c r="O904" t="s">
        <v>18</v>
      </c>
      <c r="P904">
        <v>19.772539999999999</v>
      </c>
      <c r="Q904">
        <v>8.3875299999999999</v>
      </c>
      <c r="R904">
        <v>114600000</v>
      </c>
      <c r="S904" t="s">
        <v>18</v>
      </c>
      <c r="T904">
        <v>2201132000</v>
      </c>
    </row>
    <row r="905" spans="1:20" x14ac:dyDescent="0.2">
      <c r="A905" t="s">
        <v>137</v>
      </c>
      <c r="B905" t="s">
        <v>74</v>
      </c>
      <c r="C905">
        <v>2005</v>
      </c>
      <c r="D905">
        <v>2973320000</v>
      </c>
      <c r="E905">
        <v>1124956000</v>
      </c>
      <c r="F905">
        <v>1351672000</v>
      </c>
      <c r="G905">
        <v>125167000</v>
      </c>
      <c r="H905">
        <v>609672000</v>
      </c>
      <c r="I905" t="s">
        <v>18</v>
      </c>
      <c r="J905">
        <v>974262960</v>
      </c>
      <c r="K905">
        <v>28728000</v>
      </c>
      <c r="L905" t="s">
        <v>18</v>
      </c>
      <c r="M905">
        <v>27.142023115552501</v>
      </c>
      <c r="N905" t="s">
        <v>18</v>
      </c>
      <c r="O905" t="s">
        <v>18</v>
      </c>
      <c r="P905">
        <v>19.772539999999999</v>
      </c>
      <c r="Q905">
        <v>8.3875299999999999</v>
      </c>
      <c r="R905">
        <v>144122600</v>
      </c>
      <c r="S905" t="s">
        <v>18</v>
      </c>
      <c r="T905">
        <v>2201132000</v>
      </c>
    </row>
    <row r="906" spans="1:20" x14ac:dyDescent="0.2">
      <c r="A906" t="s">
        <v>137</v>
      </c>
      <c r="B906" t="s">
        <v>74</v>
      </c>
      <c r="C906">
        <v>2006</v>
      </c>
      <c r="D906">
        <v>3152868000</v>
      </c>
      <c r="E906">
        <v>1177030000</v>
      </c>
      <c r="F906">
        <v>1360662000</v>
      </c>
      <c r="G906">
        <v>119368000</v>
      </c>
      <c r="H906">
        <v>732064000</v>
      </c>
      <c r="I906" t="s">
        <v>18</v>
      </c>
      <c r="J906">
        <v>1394182250</v>
      </c>
      <c r="K906">
        <v>63600000</v>
      </c>
      <c r="L906" t="s">
        <v>18</v>
      </c>
      <c r="M906" t="s">
        <v>18</v>
      </c>
      <c r="N906" t="s">
        <v>18</v>
      </c>
      <c r="O906" t="s">
        <v>18</v>
      </c>
      <c r="P906">
        <v>18.957090000000001</v>
      </c>
      <c r="Q906">
        <v>10.72836</v>
      </c>
      <c r="R906">
        <v>199016500</v>
      </c>
      <c r="S906" t="s">
        <v>18</v>
      </c>
      <c r="T906">
        <v>2197638000</v>
      </c>
    </row>
    <row r="907" spans="1:20" x14ac:dyDescent="0.2">
      <c r="A907" t="s">
        <v>137</v>
      </c>
      <c r="B907" t="s">
        <v>74</v>
      </c>
      <c r="C907">
        <v>2007</v>
      </c>
      <c r="D907">
        <v>3277559000</v>
      </c>
      <c r="E907">
        <v>1338093000</v>
      </c>
      <c r="F907">
        <v>1346671000</v>
      </c>
      <c r="G907">
        <v>99583000</v>
      </c>
      <c r="H907">
        <v>798341000</v>
      </c>
      <c r="I907" t="s">
        <v>18</v>
      </c>
      <c r="J907">
        <v>2161742908.8000002</v>
      </c>
      <c r="K907">
        <v>174416000</v>
      </c>
      <c r="L907" t="s">
        <v>18</v>
      </c>
      <c r="M907">
        <v>-0.47783028458892002</v>
      </c>
      <c r="N907" t="s">
        <v>18</v>
      </c>
      <c r="O907" t="s">
        <v>18</v>
      </c>
      <c r="P907">
        <v>15.31813</v>
      </c>
      <c r="Q907">
        <v>8.9404599999999999</v>
      </c>
      <c r="R907">
        <v>203750750</v>
      </c>
      <c r="S907" t="s">
        <v>18</v>
      </c>
      <c r="T907">
        <v>2260373000</v>
      </c>
    </row>
    <row r="908" spans="1:20" x14ac:dyDescent="0.2">
      <c r="A908" t="s">
        <v>137</v>
      </c>
      <c r="B908" t="s">
        <v>74</v>
      </c>
      <c r="C908">
        <v>2008</v>
      </c>
      <c r="D908">
        <v>3787009000</v>
      </c>
      <c r="E908">
        <v>1101263670</v>
      </c>
      <c r="F908">
        <v>1166843000</v>
      </c>
      <c r="G908">
        <v>97123000</v>
      </c>
      <c r="H908">
        <v>1153691000</v>
      </c>
      <c r="I908" t="s">
        <v>18</v>
      </c>
      <c r="J908">
        <v>2049701355.5999999</v>
      </c>
      <c r="K908">
        <v>185016000</v>
      </c>
      <c r="L908" t="s">
        <v>18</v>
      </c>
      <c r="M908">
        <v>5.3574535787165303</v>
      </c>
      <c r="N908" t="s">
        <v>18</v>
      </c>
      <c r="O908" t="s">
        <v>18</v>
      </c>
      <c r="P908">
        <v>1.7951299999999999</v>
      </c>
      <c r="Q908">
        <v>-3.8745400000000001</v>
      </c>
      <c r="R908">
        <v>266875000</v>
      </c>
      <c r="S908" t="s">
        <v>18</v>
      </c>
      <c r="T908">
        <v>2436595000</v>
      </c>
    </row>
    <row r="909" spans="1:20" x14ac:dyDescent="0.2">
      <c r="A909" t="s">
        <v>137</v>
      </c>
      <c r="B909" t="s">
        <v>74</v>
      </c>
      <c r="C909">
        <v>2009</v>
      </c>
      <c r="D909">
        <v>3954207000</v>
      </c>
      <c r="E909">
        <v>1136636250</v>
      </c>
      <c r="F909">
        <v>1073851000</v>
      </c>
      <c r="G909">
        <v>321170000</v>
      </c>
      <c r="H909">
        <v>1010110000</v>
      </c>
      <c r="I909" t="s">
        <v>18</v>
      </c>
      <c r="J909">
        <v>2076064074</v>
      </c>
      <c r="K909">
        <v>-79299000</v>
      </c>
      <c r="L909" t="s">
        <v>18</v>
      </c>
      <c r="M909">
        <v>7.4968444086787303</v>
      </c>
      <c r="N909" t="s">
        <v>18</v>
      </c>
      <c r="O909" t="s">
        <v>18</v>
      </c>
      <c r="P909">
        <v>3.55701</v>
      </c>
      <c r="Q909">
        <v>-2.05843</v>
      </c>
      <c r="R909">
        <v>243762670</v>
      </c>
      <c r="S909" t="s">
        <v>18</v>
      </c>
      <c r="T909">
        <v>2186990000</v>
      </c>
    </row>
    <row r="910" spans="1:20" x14ac:dyDescent="0.2">
      <c r="A910" t="s">
        <v>137</v>
      </c>
      <c r="B910" t="s">
        <v>74</v>
      </c>
      <c r="C910">
        <v>2010</v>
      </c>
      <c r="D910">
        <v>3954207000</v>
      </c>
      <c r="E910">
        <v>1176447330</v>
      </c>
      <c r="F910">
        <v>1073851000</v>
      </c>
      <c r="G910">
        <v>321170000</v>
      </c>
      <c r="H910">
        <v>1010110000</v>
      </c>
      <c r="I910" t="s">
        <v>18</v>
      </c>
      <c r="J910">
        <v>1762347725.04</v>
      </c>
      <c r="K910">
        <v>-79299000</v>
      </c>
      <c r="L910" t="s">
        <v>18</v>
      </c>
      <c r="M910">
        <v>7.4968444086787303</v>
      </c>
      <c r="N910">
        <v>24.934636300005401</v>
      </c>
      <c r="O910" t="s">
        <v>18</v>
      </c>
      <c r="P910">
        <v>3.55701</v>
      </c>
      <c r="Q910">
        <v>-2.05843</v>
      </c>
      <c r="R910">
        <v>239657750</v>
      </c>
      <c r="S910" t="s">
        <v>18</v>
      </c>
      <c r="T910">
        <v>2186990000</v>
      </c>
    </row>
    <row r="911" spans="1:20" x14ac:dyDescent="0.2">
      <c r="A911" t="s">
        <v>137</v>
      </c>
      <c r="B911" t="s">
        <v>74</v>
      </c>
      <c r="C911">
        <v>2011</v>
      </c>
      <c r="D911">
        <v>3637393000</v>
      </c>
      <c r="E911">
        <v>1153285200</v>
      </c>
      <c r="F911">
        <v>1348813000</v>
      </c>
      <c r="G911">
        <v>147101000</v>
      </c>
      <c r="H911">
        <v>1091735000</v>
      </c>
      <c r="I911" t="s">
        <v>18</v>
      </c>
      <c r="J911">
        <v>1581763104</v>
      </c>
      <c r="K911">
        <v>153473000</v>
      </c>
      <c r="L911" t="s">
        <v>18</v>
      </c>
      <c r="M911">
        <v>4.4666758240823103</v>
      </c>
      <c r="N911">
        <v>27.325751190443299</v>
      </c>
      <c r="O911" t="s">
        <v>18</v>
      </c>
      <c r="P911">
        <v>15.08323</v>
      </c>
      <c r="Q911">
        <v>10.250249999999999</v>
      </c>
      <c r="R911">
        <v>254626830</v>
      </c>
      <c r="S911" t="s">
        <v>18</v>
      </c>
      <c r="T911">
        <v>2535943000</v>
      </c>
    </row>
    <row r="912" spans="1:20" x14ac:dyDescent="0.2">
      <c r="A912" t="s">
        <v>137</v>
      </c>
      <c r="B912" t="s">
        <v>74</v>
      </c>
      <c r="C912">
        <v>2012</v>
      </c>
      <c r="D912">
        <v>3874596000</v>
      </c>
      <c r="E912">
        <v>1299333330</v>
      </c>
      <c r="F912">
        <v>1255467000</v>
      </c>
      <c r="G912">
        <v>168518000</v>
      </c>
      <c r="H912">
        <v>1134606000</v>
      </c>
      <c r="I912" t="s">
        <v>18</v>
      </c>
      <c r="J912">
        <v>1463130871.2</v>
      </c>
      <c r="K912">
        <v>135622000</v>
      </c>
      <c r="L912" t="s">
        <v>18</v>
      </c>
      <c r="M912">
        <v>2.26420549187905</v>
      </c>
      <c r="N912">
        <v>29.460383288173499</v>
      </c>
      <c r="O912" t="s">
        <v>18</v>
      </c>
      <c r="P912">
        <v>10.770530000000001</v>
      </c>
      <c r="Q912">
        <v>6.4183899999999996</v>
      </c>
      <c r="R912">
        <v>216858000</v>
      </c>
      <c r="S912" t="s">
        <v>18</v>
      </c>
      <c r="T912">
        <v>2602929000</v>
      </c>
    </row>
    <row r="913" spans="1:20" x14ac:dyDescent="0.2">
      <c r="A913" t="s">
        <v>137</v>
      </c>
      <c r="B913" t="s">
        <v>74</v>
      </c>
      <c r="C913">
        <v>2013</v>
      </c>
      <c r="D913">
        <v>4078581000</v>
      </c>
      <c r="E913">
        <v>1170500000</v>
      </c>
      <c r="F913">
        <v>1406089000</v>
      </c>
      <c r="G913">
        <v>378368000</v>
      </c>
      <c r="H913">
        <v>1099109000</v>
      </c>
      <c r="I913" t="s">
        <v>18</v>
      </c>
      <c r="J913">
        <v>1560013861.3199999</v>
      </c>
      <c r="K913">
        <v>83938000</v>
      </c>
      <c r="L913" t="s">
        <v>18</v>
      </c>
      <c r="M913">
        <v>9.7459248914947505</v>
      </c>
      <c r="N913">
        <v>39.897714739653601</v>
      </c>
      <c r="O913" t="s">
        <v>18</v>
      </c>
      <c r="P913">
        <v>9.1721599999999999</v>
      </c>
      <c r="Q913">
        <v>4.9207900000000002</v>
      </c>
      <c r="R913">
        <v>198103330</v>
      </c>
      <c r="S913" t="s">
        <v>18</v>
      </c>
      <c r="T913">
        <v>2714676000</v>
      </c>
    </row>
    <row r="914" spans="1:20" x14ac:dyDescent="0.2">
      <c r="A914" t="s">
        <v>137</v>
      </c>
      <c r="B914" t="s">
        <v>74</v>
      </c>
      <c r="C914">
        <v>2014</v>
      </c>
      <c r="D914">
        <v>4168563000</v>
      </c>
      <c r="E914">
        <v>1284000000</v>
      </c>
      <c r="F914">
        <v>1500267000</v>
      </c>
      <c r="G914">
        <v>418234000</v>
      </c>
      <c r="H914">
        <v>1095733000</v>
      </c>
      <c r="I914">
        <v>3.6095505617977501</v>
      </c>
      <c r="J914">
        <v>1588353783.5999999</v>
      </c>
      <c r="K914">
        <v>105303000</v>
      </c>
      <c r="L914">
        <v>2.5998151892947101</v>
      </c>
      <c r="M914">
        <v>9.0116852099059805</v>
      </c>
      <c r="N914">
        <v>39.474420242548803</v>
      </c>
      <c r="O914">
        <v>5.3072346382680902</v>
      </c>
      <c r="P914">
        <v>8.7674199999999995</v>
      </c>
      <c r="Q914">
        <v>4.6849100000000004</v>
      </c>
      <c r="R914">
        <v>182697500</v>
      </c>
      <c r="S914" t="s">
        <v>18</v>
      </c>
      <c r="T914">
        <v>2803242000</v>
      </c>
    </row>
    <row r="915" spans="1:20" x14ac:dyDescent="0.2">
      <c r="A915" t="s">
        <v>137</v>
      </c>
      <c r="B915" t="s">
        <v>74</v>
      </c>
      <c r="C915">
        <v>2015</v>
      </c>
      <c r="D915">
        <v>4070736000</v>
      </c>
      <c r="E915">
        <v>1317000000</v>
      </c>
      <c r="F915">
        <v>1403224000</v>
      </c>
      <c r="G915">
        <v>366567000</v>
      </c>
      <c r="H915">
        <v>1129344000</v>
      </c>
      <c r="I915">
        <v>3.4108623374670599</v>
      </c>
      <c r="J915">
        <v>1370861356.8</v>
      </c>
      <c r="K915">
        <v>101396000</v>
      </c>
      <c r="L915">
        <v>8.5312989491150404</v>
      </c>
      <c r="M915">
        <v>5.1227682573886399</v>
      </c>
      <c r="N915">
        <v>40.244228755281704</v>
      </c>
      <c r="O915" t="s">
        <v>18</v>
      </c>
      <c r="P915">
        <v>7.7172400000000003</v>
      </c>
      <c r="Q915">
        <v>3.4770500000000002</v>
      </c>
      <c r="R915">
        <v>188280000</v>
      </c>
      <c r="S915" t="s">
        <v>18</v>
      </c>
      <c r="T915">
        <v>2738859000</v>
      </c>
    </row>
    <row r="916" spans="1:20" x14ac:dyDescent="0.2">
      <c r="A916" t="s">
        <v>137</v>
      </c>
      <c r="B916" t="s">
        <v>74</v>
      </c>
      <c r="C916">
        <v>2016</v>
      </c>
      <c r="D916">
        <v>4583980000</v>
      </c>
      <c r="E916">
        <v>1454500000</v>
      </c>
      <c r="F916">
        <v>1547576000</v>
      </c>
      <c r="G916">
        <v>261482000</v>
      </c>
      <c r="H916">
        <v>1110889000</v>
      </c>
      <c r="I916" t="s">
        <v>18</v>
      </c>
      <c r="J916">
        <v>1323737997.6600001</v>
      </c>
      <c r="K916">
        <v>85232000</v>
      </c>
      <c r="L916" t="s">
        <v>18</v>
      </c>
      <c r="M916">
        <v>5.38443244056828</v>
      </c>
      <c r="N916">
        <v>37.323967392390102</v>
      </c>
      <c r="O916" t="s">
        <v>18</v>
      </c>
      <c r="P916">
        <v>9.0527999999999995</v>
      </c>
      <c r="Q916">
        <v>4.3693099999999996</v>
      </c>
      <c r="R916">
        <v>194500000</v>
      </c>
      <c r="S916" t="s">
        <v>18</v>
      </c>
      <c r="T916">
        <v>2861902000</v>
      </c>
    </row>
    <row r="917" spans="1:20" x14ac:dyDescent="0.2">
      <c r="A917" t="s">
        <v>137</v>
      </c>
      <c r="B917" t="s">
        <v>74</v>
      </c>
      <c r="C917">
        <v>2017</v>
      </c>
      <c r="D917">
        <v>5003626000</v>
      </c>
      <c r="E917">
        <v>1430000000</v>
      </c>
      <c r="F917">
        <v>1516307000</v>
      </c>
      <c r="G917">
        <v>331681000</v>
      </c>
      <c r="H917">
        <v>1183147000</v>
      </c>
      <c r="I917" t="s">
        <v>18</v>
      </c>
      <c r="J917">
        <v>1598239803</v>
      </c>
      <c r="K917">
        <v>108648000</v>
      </c>
      <c r="L917">
        <v>1.56246226665701</v>
      </c>
      <c r="M917">
        <v>1.20985565136642</v>
      </c>
      <c r="N917">
        <v>46.313521363250601</v>
      </c>
      <c r="O917" t="s">
        <v>18</v>
      </c>
      <c r="P917">
        <v>8.4525400000000008</v>
      </c>
      <c r="Q917">
        <v>4.0369599999999997</v>
      </c>
      <c r="R917">
        <v>206200000</v>
      </c>
      <c r="S917" t="s">
        <v>18</v>
      </c>
      <c r="T917">
        <v>2942662000</v>
      </c>
    </row>
    <row r="918" spans="1:20" x14ac:dyDescent="0.2">
      <c r="A918" t="s">
        <v>137</v>
      </c>
      <c r="B918" t="s">
        <v>74</v>
      </c>
      <c r="C918">
        <v>2018</v>
      </c>
      <c r="D918">
        <v>4712888000</v>
      </c>
      <c r="E918">
        <v>1398500000</v>
      </c>
      <c r="F918">
        <v>1407779000</v>
      </c>
      <c r="G918">
        <v>369083000</v>
      </c>
      <c r="H918">
        <v>1272218000</v>
      </c>
      <c r="I918">
        <v>2.4634703196347001</v>
      </c>
      <c r="J918">
        <v>1674032618.4000001</v>
      </c>
      <c r="K918">
        <v>132485000</v>
      </c>
      <c r="L918">
        <v>-2.1385176184690202</v>
      </c>
      <c r="M918">
        <v>-7.4931066025924196</v>
      </c>
      <c r="N918">
        <v>42.269253233964598</v>
      </c>
      <c r="O918">
        <v>36.514150650698603</v>
      </c>
      <c r="P918">
        <v>9.4700699999999998</v>
      </c>
      <c r="Q918">
        <v>4.9761899999999999</v>
      </c>
      <c r="R918">
        <v>215500000</v>
      </c>
      <c r="S918" t="s">
        <v>18</v>
      </c>
      <c r="T918">
        <v>2928881000</v>
      </c>
    </row>
    <row r="919" spans="1:20" x14ac:dyDescent="0.2">
      <c r="A919" t="s">
        <v>137</v>
      </c>
      <c r="B919" t="s">
        <v>74</v>
      </c>
      <c r="C919">
        <v>2019</v>
      </c>
      <c r="D919">
        <v>5139981000</v>
      </c>
      <c r="E919" t="s">
        <v>18</v>
      </c>
      <c r="F919">
        <v>1354271000</v>
      </c>
      <c r="G919">
        <v>309363000</v>
      </c>
      <c r="H919">
        <v>1380423000</v>
      </c>
      <c r="I919" t="s">
        <v>18</v>
      </c>
      <c r="J919">
        <v>1819027569.5999999</v>
      </c>
      <c r="K919">
        <v>132608000</v>
      </c>
      <c r="L919" t="s">
        <v>18</v>
      </c>
      <c r="M919">
        <v>-3.4289145307079498</v>
      </c>
      <c r="N919">
        <v>46.688524075817703</v>
      </c>
      <c r="O919" t="s">
        <v>18</v>
      </c>
      <c r="P919">
        <v>9.7677099999999992</v>
      </c>
      <c r="Q919">
        <v>5.17197</v>
      </c>
      <c r="R919">
        <v>220900000</v>
      </c>
      <c r="S919" t="s">
        <v>18</v>
      </c>
      <c r="T919">
        <v>2979485000</v>
      </c>
    </row>
    <row r="920" spans="1:20" x14ac:dyDescent="0.2">
      <c r="A920" t="s">
        <v>137</v>
      </c>
      <c r="B920" t="s">
        <v>74</v>
      </c>
      <c r="C920">
        <v>2020</v>
      </c>
      <c r="D920">
        <v>4822197000</v>
      </c>
      <c r="E920" t="s">
        <v>18</v>
      </c>
      <c r="F920">
        <v>1627236000</v>
      </c>
      <c r="G920">
        <v>355731000</v>
      </c>
      <c r="H920">
        <v>1319716000</v>
      </c>
      <c r="I920" t="s">
        <v>18</v>
      </c>
      <c r="J920">
        <v>1660851259.2</v>
      </c>
      <c r="K920">
        <v>76259000</v>
      </c>
      <c r="L920" t="s">
        <v>18</v>
      </c>
      <c r="M920">
        <v>-2.6575397597496901</v>
      </c>
      <c r="N920">
        <v>53.894944743234397</v>
      </c>
      <c r="O920" t="s">
        <v>18</v>
      </c>
      <c r="P920">
        <v>9.6078600000000005</v>
      </c>
      <c r="Q920">
        <v>4.7009299999999996</v>
      </c>
      <c r="R920">
        <v>225550000</v>
      </c>
      <c r="S920" t="s">
        <v>18</v>
      </c>
      <c r="T920">
        <v>3162503000</v>
      </c>
    </row>
    <row r="921" spans="1:20" x14ac:dyDescent="0.2">
      <c r="A921" t="s">
        <v>137</v>
      </c>
      <c r="B921" t="s">
        <v>74</v>
      </c>
      <c r="C921">
        <v>2021</v>
      </c>
      <c r="D921">
        <v>5031322000</v>
      </c>
      <c r="E921" t="s">
        <v>18</v>
      </c>
      <c r="F921">
        <v>1656113000</v>
      </c>
      <c r="G921">
        <v>342641000</v>
      </c>
      <c r="H921">
        <v>1319138000</v>
      </c>
      <c r="I921" t="s">
        <v>18</v>
      </c>
      <c r="J921">
        <v>2385826015.1999998</v>
      </c>
      <c r="K921">
        <v>114192000</v>
      </c>
      <c r="L921">
        <v>2.63848981987827</v>
      </c>
      <c r="M921">
        <v>2.0473949428053499</v>
      </c>
      <c r="N921">
        <v>50.925538178993001</v>
      </c>
      <c r="O921" t="s">
        <v>18</v>
      </c>
      <c r="P921">
        <v>12.01313</v>
      </c>
      <c r="Q921">
        <v>6.0448500000000003</v>
      </c>
      <c r="R921">
        <v>285550000</v>
      </c>
      <c r="S921" t="s">
        <v>18</v>
      </c>
      <c r="T921">
        <v>3190413000</v>
      </c>
    </row>
    <row r="922" spans="1:20" x14ac:dyDescent="0.2">
      <c r="A922" t="s">
        <v>137</v>
      </c>
      <c r="B922" t="s">
        <v>74</v>
      </c>
      <c r="C922">
        <v>2022</v>
      </c>
      <c r="D922">
        <v>14809658000</v>
      </c>
      <c r="E922" t="s">
        <v>18</v>
      </c>
      <c r="F922">
        <v>1859637000</v>
      </c>
      <c r="G922">
        <v>1257951000</v>
      </c>
      <c r="H922">
        <v>1391217000</v>
      </c>
      <c r="I922" t="s">
        <v>18</v>
      </c>
      <c r="J922">
        <v>1957431841.2</v>
      </c>
      <c r="K922">
        <v>345032000</v>
      </c>
      <c r="L922" t="s">
        <v>18</v>
      </c>
      <c r="M922">
        <v>4.7645058819779198</v>
      </c>
      <c r="N922">
        <v>48.844391038502899</v>
      </c>
      <c r="O922" t="s">
        <v>18</v>
      </c>
      <c r="P922">
        <v>8.7834099999999999</v>
      </c>
      <c r="Q922">
        <v>3.96739</v>
      </c>
      <c r="R922" t="s">
        <v>18</v>
      </c>
      <c r="S922" t="s">
        <v>18</v>
      </c>
      <c r="T922">
        <v>3618261000</v>
      </c>
    </row>
    <row r="923" spans="1:20" x14ac:dyDescent="0.2">
      <c r="A923" t="s">
        <v>137</v>
      </c>
      <c r="B923" t="s">
        <v>74</v>
      </c>
      <c r="C923">
        <v>2023</v>
      </c>
      <c r="D923">
        <v>24328279000</v>
      </c>
      <c r="E923" t="s">
        <v>18</v>
      </c>
      <c r="F923">
        <v>1884334000</v>
      </c>
      <c r="G923">
        <v>1884848000</v>
      </c>
      <c r="H923">
        <v>1717793000</v>
      </c>
      <c r="I923" t="s">
        <v>18</v>
      </c>
      <c r="J923">
        <v>2029929316.8</v>
      </c>
      <c r="K923">
        <v>10627000</v>
      </c>
      <c r="L923" t="s">
        <v>18</v>
      </c>
      <c r="M923">
        <v>10.500867532978701</v>
      </c>
      <c r="N923">
        <v>43.5045894968356</v>
      </c>
      <c r="O923" t="s">
        <v>18</v>
      </c>
      <c r="P923">
        <v>0.78313999999999995</v>
      </c>
      <c r="Q923">
        <v>-2.7731499999999998</v>
      </c>
      <c r="R923" t="s">
        <v>18</v>
      </c>
      <c r="S923" t="s">
        <v>18</v>
      </c>
      <c r="T923">
        <v>4330405000</v>
      </c>
    </row>
    <row r="924" spans="1:20" x14ac:dyDescent="0.2">
      <c r="A924" t="s">
        <v>137</v>
      </c>
      <c r="B924" t="s">
        <v>74</v>
      </c>
      <c r="C924">
        <v>2024</v>
      </c>
      <c r="D924">
        <v>9560010000</v>
      </c>
      <c r="E924" t="s">
        <v>18</v>
      </c>
      <c r="F924">
        <v>1766900000</v>
      </c>
      <c r="G924">
        <v>975026000</v>
      </c>
      <c r="H924">
        <v>2166876000</v>
      </c>
      <c r="I924" t="s">
        <v>18</v>
      </c>
      <c r="J924">
        <v>1964022520.8</v>
      </c>
      <c r="K924">
        <v>753206000</v>
      </c>
      <c r="L924" t="s">
        <v>18</v>
      </c>
      <c r="M924">
        <v>3.5478869133734898</v>
      </c>
      <c r="N924">
        <v>49.736187663679601</v>
      </c>
      <c r="O924" t="s">
        <v>18</v>
      </c>
      <c r="P924">
        <v>6.6230799999999999</v>
      </c>
      <c r="Q924">
        <v>3.4975700000000001</v>
      </c>
      <c r="R924" t="s">
        <v>18</v>
      </c>
      <c r="S924" t="s">
        <v>18</v>
      </c>
      <c r="T924">
        <v>4246072000</v>
      </c>
    </row>
    <row r="925" spans="1:20" x14ac:dyDescent="0.2">
      <c r="A925" t="s">
        <v>137</v>
      </c>
      <c r="B925" t="s">
        <v>74</v>
      </c>
      <c r="C925">
        <v>2025</v>
      </c>
      <c r="D925">
        <v>7876016000</v>
      </c>
      <c r="E925" t="s">
        <v>18</v>
      </c>
      <c r="F925">
        <v>1644810000</v>
      </c>
      <c r="G925">
        <v>778908000</v>
      </c>
      <c r="H925">
        <v>2178635000</v>
      </c>
      <c r="I925" t="s">
        <v>18</v>
      </c>
      <c r="J925">
        <v>2036519996.4000001</v>
      </c>
      <c r="K925">
        <v>249796000</v>
      </c>
      <c r="L925">
        <v>1.68745414526779</v>
      </c>
      <c r="M925">
        <v>9.0889760424694295</v>
      </c>
      <c r="N925">
        <v>50.658479829249401</v>
      </c>
      <c r="O925" t="s">
        <v>18</v>
      </c>
      <c r="P925">
        <v>7.8957499999999996</v>
      </c>
      <c r="Q925">
        <v>4.6834699999999998</v>
      </c>
      <c r="R925">
        <v>363000000</v>
      </c>
      <c r="S925" t="s">
        <v>18</v>
      </c>
      <c r="T925">
        <v>4159333000</v>
      </c>
    </row>
    <row r="926" spans="1:20" x14ac:dyDescent="0.2">
      <c r="A926" t="s">
        <v>138</v>
      </c>
      <c r="B926" t="s">
        <v>75</v>
      </c>
      <c r="C926">
        <v>2004</v>
      </c>
      <c r="D926">
        <v>2585800000</v>
      </c>
      <c r="E926">
        <v>296803330</v>
      </c>
      <c r="F926">
        <v>839600000</v>
      </c>
      <c r="G926">
        <v>78000000</v>
      </c>
      <c r="H926">
        <v>1035800000</v>
      </c>
      <c r="I926" t="s">
        <v>18</v>
      </c>
      <c r="J926">
        <v>908588676.56006396</v>
      </c>
      <c r="K926">
        <v>80500000</v>
      </c>
      <c r="L926" t="s">
        <v>18</v>
      </c>
      <c r="M926">
        <v>-2.2767793939193801</v>
      </c>
      <c r="N926" t="s">
        <v>18</v>
      </c>
      <c r="O926" t="s">
        <v>18</v>
      </c>
      <c r="P926">
        <v>103.9585</v>
      </c>
      <c r="Q926">
        <v>97.776730000000001</v>
      </c>
      <c r="R926">
        <v>173356670</v>
      </c>
      <c r="S926" t="s">
        <v>18</v>
      </c>
      <c r="T926">
        <v>1907600000</v>
      </c>
    </row>
    <row r="927" spans="1:20" x14ac:dyDescent="0.2">
      <c r="A927" t="s">
        <v>138</v>
      </c>
      <c r="B927" t="s">
        <v>75</v>
      </c>
      <c r="C927">
        <v>2005</v>
      </c>
      <c r="D927">
        <v>2043000000</v>
      </c>
      <c r="E927">
        <v>701642500</v>
      </c>
      <c r="F927">
        <v>587600000</v>
      </c>
      <c r="G927">
        <v>384900000</v>
      </c>
      <c r="H927">
        <v>927800000</v>
      </c>
      <c r="I927" t="s">
        <v>18</v>
      </c>
      <c r="J927">
        <v>1078411879.0252099</v>
      </c>
      <c r="K927">
        <v>19600000</v>
      </c>
      <c r="L927" t="s">
        <v>18</v>
      </c>
      <c r="M927">
        <v>0.71646064364512296</v>
      </c>
      <c r="N927" t="s">
        <v>18</v>
      </c>
      <c r="O927" t="s">
        <v>18</v>
      </c>
      <c r="P927">
        <v>186.20750000000001</v>
      </c>
      <c r="Q927">
        <v>179.16202999999999</v>
      </c>
      <c r="R927">
        <v>162106180</v>
      </c>
      <c r="S927" t="s">
        <v>18</v>
      </c>
      <c r="T927">
        <v>1543600000</v>
      </c>
    </row>
    <row r="928" spans="1:20" x14ac:dyDescent="0.2">
      <c r="A928" t="s">
        <v>138</v>
      </c>
      <c r="B928" t="s">
        <v>75</v>
      </c>
      <c r="C928">
        <v>2006</v>
      </c>
      <c r="D928">
        <v>2330900000</v>
      </c>
      <c r="E928">
        <v>827790170</v>
      </c>
      <c r="F928">
        <v>678700000</v>
      </c>
      <c r="G928">
        <v>56300000</v>
      </c>
      <c r="H928">
        <v>1005500000</v>
      </c>
      <c r="I928" t="s">
        <v>18</v>
      </c>
      <c r="J928">
        <v>1389046963.4575901</v>
      </c>
      <c r="K928">
        <v>91400000</v>
      </c>
      <c r="L928" t="s">
        <v>18</v>
      </c>
      <c r="M928">
        <v>16.797933063815901</v>
      </c>
      <c r="N928" t="s">
        <v>18</v>
      </c>
      <c r="O928" t="s">
        <v>18</v>
      </c>
      <c r="P928">
        <v>100</v>
      </c>
      <c r="Q928">
        <v>94.238500000000002</v>
      </c>
      <c r="R928">
        <v>197289690</v>
      </c>
      <c r="S928" t="s">
        <v>18</v>
      </c>
      <c r="T928">
        <v>1697900000</v>
      </c>
    </row>
    <row r="929" spans="1:20" x14ac:dyDescent="0.2">
      <c r="A929" t="s">
        <v>138</v>
      </c>
      <c r="B929" t="s">
        <v>75</v>
      </c>
      <c r="C929">
        <v>2007</v>
      </c>
      <c r="D929">
        <v>2769400000</v>
      </c>
      <c r="E929">
        <v>888852550</v>
      </c>
      <c r="F929">
        <v>906000000</v>
      </c>
      <c r="G929">
        <v>76100000</v>
      </c>
      <c r="H929">
        <v>1069900000</v>
      </c>
      <c r="I929" t="s">
        <v>18</v>
      </c>
      <c r="J929">
        <v>1196532937.6015201</v>
      </c>
      <c r="K929">
        <v>112200000</v>
      </c>
      <c r="L929" t="s">
        <v>18</v>
      </c>
      <c r="M929">
        <v>20.899226993804099</v>
      </c>
      <c r="N929" t="s">
        <v>18</v>
      </c>
      <c r="O929" t="s">
        <v>18</v>
      </c>
      <c r="P929">
        <v>187.62831</v>
      </c>
      <c r="Q929">
        <v>182.84075999999999</v>
      </c>
      <c r="R929">
        <v>219078000</v>
      </c>
      <c r="S929" t="s">
        <v>18</v>
      </c>
      <c r="T929">
        <v>1988500000</v>
      </c>
    </row>
    <row r="930" spans="1:20" x14ac:dyDescent="0.2">
      <c r="A930" t="s">
        <v>138</v>
      </c>
      <c r="B930" t="s">
        <v>75</v>
      </c>
      <c r="C930">
        <v>2008</v>
      </c>
      <c r="D930">
        <v>2827900000</v>
      </c>
      <c r="E930">
        <v>946886750</v>
      </c>
      <c r="F930">
        <v>1059800000</v>
      </c>
      <c r="G930">
        <v>52600000</v>
      </c>
      <c r="H930">
        <v>1072000000</v>
      </c>
      <c r="I930" t="s">
        <v>18</v>
      </c>
      <c r="J930">
        <v>538132515.73653805</v>
      </c>
      <c r="K930">
        <v>67500000</v>
      </c>
      <c r="L930" t="s">
        <v>18</v>
      </c>
      <c r="M930">
        <v>6.0346451586215801</v>
      </c>
      <c r="N930" t="s">
        <v>18</v>
      </c>
      <c r="O930" t="s">
        <v>18</v>
      </c>
      <c r="P930">
        <v>51.759390000000003</v>
      </c>
      <c r="Q930">
        <v>47.001159999999999</v>
      </c>
      <c r="R930">
        <v>154078170</v>
      </c>
      <c r="S930" t="s">
        <v>18</v>
      </c>
      <c r="T930">
        <v>2147100000</v>
      </c>
    </row>
    <row r="931" spans="1:20" x14ac:dyDescent="0.2">
      <c r="A931" t="s">
        <v>138</v>
      </c>
      <c r="B931" t="s">
        <v>75</v>
      </c>
      <c r="C931">
        <v>2009</v>
      </c>
      <c r="D931">
        <v>2859700000</v>
      </c>
      <c r="E931">
        <v>871428910</v>
      </c>
      <c r="F931">
        <v>1172300000</v>
      </c>
      <c r="G931">
        <v>119400000</v>
      </c>
      <c r="H931">
        <v>962800000</v>
      </c>
      <c r="I931" t="s">
        <v>18</v>
      </c>
      <c r="J931">
        <v>1162545948.3466499</v>
      </c>
      <c r="K931">
        <v>1700000</v>
      </c>
      <c r="L931" t="s">
        <v>18</v>
      </c>
      <c r="M931">
        <v>-0.19763000380228499</v>
      </c>
      <c r="N931" t="s">
        <v>18</v>
      </c>
      <c r="O931" t="s">
        <v>18</v>
      </c>
      <c r="P931">
        <v>55.121000000000002</v>
      </c>
      <c r="Q931">
        <v>50.585949999999997</v>
      </c>
      <c r="R931">
        <v>160181420</v>
      </c>
      <c r="S931">
        <v>20.552800000000001</v>
      </c>
      <c r="T931">
        <v>2148300000</v>
      </c>
    </row>
    <row r="932" spans="1:20" x14ac:dyDescent="0.2">
      <c r="A932" t="s">
        <v>138</v>
      </c>
      <c r="B932" t="s">
        <v>75</v>
      </c>
      <c r="C932">
        <v>2010</v>
      </c>
      <c r="D932">
        <v>2816800000</v>
      </c>
      <c r="E932">
        <v>534434690</v>
      </c>
      <c r="F932">
        <v>953500000</v>
      </c>
      <c r="G932">
        <v>274600000</v>
      </c>
      <c r="H932">
        <v>1249600000</v>
      </c>
      <c r="I932" t="s">
        <v>18</v>
      </c>
      <c r="J932">
        <v>1724302382.7</v>
      </c>
      <c r="K932">
        <v>76200000</v>
      </c>
      <c r="L932" t="s">
        <v>18</v>
      </c>
      <c r="M932">
        <v>-12.7603883335444</v>
      </c>
      <c r="N932">
        <v>45.610957962853</v>
      </c>
      <c r="O932" t="s">
        <v>18</v>
      </c>
      <c r="P932">
        <v>59.871940000000002</v>
      </c>
      <c r="Q932">
        <v>54.008270000000003</v>
      </c>
      <c r="R932">
        <v>164794360</v>
      </c>
      <c r="S932">
        <v>30.829000000000001</v>
      </c>
      <c r="T932">
        <v>2222400000</v>
      </c>
    </row>
    <row r="933" spans="1:20" x14ac:dyDescent="0.2">
      <c r="A933" t="s">
        <v>138</v>
      </c>
      <c r="B933" t="s">
        <v>75</v>
      </c>
      <c r="C933">
        <v>2011</v>
      </c>
      <c r="D933">
        <v>2543700000</v>
      </c>
      <c r="E933">
        <v>463792080</v>
      </c>
      <c r="F933">
        <v>628600000</v>
      </c>
      <c r="G933">
        <v>91800000</v>
      </c>
      <c r="H933">
        <v>1339900000</v>
      </c>
      <c r="I933" t="s">
        <v>18</v>
      </c>
      <c r="J933">
        <v>1375558342.2349999</v>
      </c>
      <c r="K933">
        <v>158100000</v>
      </c>
      <c r="L933" t="s">
        <v>18</v>
      </c>
      <c r="M933">
        <v>-28.348824960525999</v>
      </c>
      <c r="N933">
        <v>46.2042057430616</v>
      </c>
      <c r="O933" t="s">
        <v>18</v>
      </c>
      <c r="P933">
        <v>59.719410000000003</v>
      </c>
      <c r="Q933">
        <v>54.461820000000003</v>
      </c>
      <c r="R933">
        <v>161295850</v>
      </c>
      <c r="S933">
        <v>29.783899999999999</v>
      </c>
      <c r="T933">
        <v>1994400000</v>
      </c>
    </row>
    <row r="934" spans="1:20" x14ac:dyDescent="0.2">
      <c r="A934" t="s">
        <v>138</v>
      </c>
      <c r="B934" t="s">
        <v>75</v>
      </c>
      <c r="C934">
        <v>2012</v>
      </c>
      <c r="D934">
        <v>2676500000</v>
      </c>
      <c r="E934">
        <v>532102210</v>
      </c>
      <c r="F934">
        <v>701600000</v>
      </c>
      <c r="G934">
        <v>185800000</v>
      </c>
      <c r="H934">
        <v>1358500000</v>
      </c>
      <c r="I934" t="s">
        <v>18</v>
      </c>
      <c r="J934">
        <v>1728962659.4100001</v>
      </c>
      <c r="K934">
        <v>140300000</v>
      </c>
      <c r="L934" t="s">
        <v>18</v>
      </c>
      <c r="M934">
        <v>-26.581043182590498</v>
      </c>
      <c r="N934">
        <v>54.534927551664701</v>
      </c>
      <c r="O934" t="s">
        <v>18</v>
      </c>
      <c r="P934">
        <v>6.6522399999999999</v>
      </c>
      <c r="Q934">
        <v>2.18587</v>
      </c>
      <c r="R934">
        <v>125633130</v>
      </c>
      <c r="S934">
        <v>30.115100000000002</v>
      </c>
      <c r="T934">
        <v>2072400000</v>
      </c>
    </row>
    <row r="935" spans="1:20" x14ac:dyDescent="0.2">
      <c r="A935" t="s">
        <v>138</v>
      </c>
      <c r="B935" t="s">
        <v>75</v>
      </c>
      <c r="C935">
        <v>2013</v>
      </c>
      <c r="D935">
        <v>2462300000</v>
      </c>
      <c r="E935">
        <v>427602230</v>
      </c>
      <c r="F935">
        <v>664700000</v>
      </c>
      <c r="G935">
        <v>132700000</v>
      </c>
      <c r="H935">
        <v>1247400000</v>
      </c>
      <c r="I935" t="s">
        <v>18</v>
      </c>
      <c r="J935">
        <v>1837702449.3099999</v>
      </c>
      <c r="K935">
        <v>22400000</v>
      </c>
      <c r="L935" t="s">
        <v>18</v>
      </c>
      <c r="M935">
        <v>-11.4876322063865</v>
      </c>
      <c r="N935">
        <v>53.037194551888597</v>
      </c>
      <c r="O935" t="s">
        <v>18</v>
      </c>
      <c r="P935">
        <v>7.9253900000000002</v>
      </c>
      <c r="Q935">
        <v>2.8827699999999998</v>
      </c>
      <c r="R935">
        <v>157142860</v>
      </c>
      <c r="S935">
        <v>30.639500000000002</v>
      </c>
      <c r="T935">
        <v>1925300000</v>
      </c>
    </row>
    <row r="936" spans="1:20" x14ac:dyDescent="0.2">
      <c r="A936" t="s">
        <v>138</v>
      </c>
      <c r="B936" t="s">
        <v>75</v>
      </c>
      <c r="C936">
        <v>2014</v>
      </c>
      <c r="D936">
        <v>2211000000</v>
      </c>
      <c r="E936">
        <v>380444440</v>
      </c>
      <c r="F936">
        <v>558300000</v>
      </c>
      <c r="G936">
        <v>102000000</v>
      </c>
      <c r="H936">
        <v>1112500000</v>
      </c>
      <c r="I936">
        <v>1.5656305038229399</v>
      </c>
      <c r="J936">
        <v>1500609100.6199999</v>
      </c>
      <c r="K936">
        <v>-25900000</v>
      </c>
      <c r="L936">
        <v>10.8868308810671</v>
      </c>
      <c r="M936">
        <v>-2.23123472841948</v>
      </c>
      <c r="N936">
        <v>53.393481870232002</v>
      </c>
      <c r="O936">
        <v>-17.1021598272138</v>
      </c>
      <c r="P936">
        <v>8.1198700000000006</v>
      </c>
      <c r="Q936">
        <v>4.0958199999999998</v>
      </c>
      <c r="R936">
        <v>150236360</v>
      </c>
      <c r="S936">
        <v>29.581399999999999</v>
      </c>
      <c r="T936">
        <v>1683800000</v>
      </c>
    </row>
    <row r="937" spans="1:20" x14ac:dyDescent="0.2">
      <c r="A937" t="s">
        <v>138</v>
      </c>
      <c r="B937" t="s">
        <v>75</v>
      </c>
      <c r="C937">
        <v>2015</v>
      </c>
      <c r="D937">
        <v>2295700000</v>
      </c>
      <c r="E937">
        <v>694875000</v>
      </c>
      <c r="F937">
        <v>605200000</v>
      </c>
      <c r="G937">
        <v>119100000</v>
      </c>
      <c r="H937">
        <v>1150700000</v>
      </c>
      <c r="I937">
        <v>2.4221454368762001</v>
      </c>
      <c r="J937">
        <v>1767798298.6600001</v>
      </c>
      <c r="K937">
        <v>95800000</v>
      </c>
      <c r="L937">
        <v>5.5892249933504603</v>
      </c>
      <c r="M937">
        <v>11.822885787848101</v>
      </c>
      <c r="N937">
        <v>52.248386426152699</v>
      </c>
      <c r="O937" t="s">
        <v>18</v>
      </c>
      <c r="P937">
        <v>8.5833300000000001</v>
      </c>
      <c r="Q937">
        <v>3.88917</v>
      </c>
      <c r="R937">
        <v>171750000</v>
      </c>
      <c r="S937">
        <v>17.8874</v>
      </c>
      <c r="T937">
        <v>1768500000</v>
      </c>
    </row>
    <row r="938" spans="1:20" x14ac:dyDescent="0.2">
      <c r="A938" t="s">
        <v>138</v>
      </c>
      <c r="B938" t="s">
        <v>75</v>
      </c>
      <c r="C938">
        <v>2016</v>
      </c>
      <c r="D938">
        <v>2595200000</v>
      </c>
      <c r="E938">
        <v>667250000</v>
      </c>
      <c r="F938">
        <v>793600000</v>
      </c>
      <c r="G938">
        <v>151500000</v>
      </c>
      <c r="H938">
        <v>1180300000</v>
      </c>
      <c r="I938">
        <v>2.26494289855858</v>
      </c>
      <c r="J938">
        <v>1797313384.49</v>
      </c>
      <c r="K938">
        <v>77200000</v>
      </c>
      <c r="L938">
        <v>2.9852307083866401</v>
      </c>
      <c r="M938">
        <v>18.739742659529298</v>
      </c>
      <c r="N938">
        <v>67.343736039193303</v>
      </c>
      <c r="O938">
        <v>4.2350247660979603</v>
      </c>
      <c r="P938">
        <v>11.015129999999999</v>
      </c>
      <c r="Q938">
        <v>5.5496999999999996</v>
      </c>
      <c r="R938">
        <v>165888890</v>
      </c>
      <c r="S938">
        <v>25.523599999999998</v>
      </c>
      <c r="T938">
        <v>1986800000</v>
      </c>
    </row>
    <row r="939" spans="1:20" x14ac:dyDescent="0.2">
      <c r="A939" t="s">
        <v>138</v>
      </c>
      <c r="B939" t="s">
        <v>75</v>
      </c>
      <c r="C939">
        <v>2017</v>
      </c>
      <c r="D939">
        <v>2620900000</v>
      </c>
      <c r="E939">
        <v>697379440</v>
      </c>
      <c r="F939">
        <v>807400000</v>
      </c>
      <c r="G939">
        <v>173400000</v>
      </c>
      <c r="H939">
        <v>1170000000</v>
      </c>
      <c r="I939">
        <v>2.3221808594021902</v>
      </c>
      <c r="J939">
        <v>1705661275.8599999</v>
      </c>
      <c r="K939">
        <v>97900000</v>
      </c>
      <c r="L939">
        <v>3.0036984415214798</v>
      </c>
      <c r="M939">
        <v>16.6814851987791</v>
      </c>
      <c r="N939">
        <v>62.796438321036597</v>
      </c>
      <c r="O939">
        <v>-3.0761994355597402</v>
      </c>
      <c r="P939">
        <v>11.9367</v>
      </c>
      <c r="Q939">
        <v>6.3343600000000002</v>
      </c>
      <c r="R939">
        <v>158807600</v>
      </c>
      <c r="S939">
        <v>37.572899999999997</v>
      </c>
      <c r="T939">
        <v>1990300000</v>
      </c>
    </row>
    <row r="940" spans="1:20" x14ac:dyDescent="0.2">
      <c r="A940" t="s">
        <v>138</v>
      </c>
      <c r="B940" t="s">
        <v>75</v>
      </c>
      <c r="C940">
        <v>2018</v>
      </c>
      <c r="D940">
        <v>2674900000</v>
      </c>
      <c r="E940">
        <v>729808000</v>
      </c>
      <c r="F940">
        <v>860500000</v>
      </c>
      <c r="G940">
        <v>166100000</v>
      </c>
      <c r="H940">
        <v>1159000000</v>
      </c>
      <c r="I940">
        <v>2.2603434530231099</v>
      </c>
      <c r="J940">
        <v>1579833804.6900001</v>
      </c>
      <c r="K940">
        <v>85200000</v>
      </c>
      <c r="L940">
        <v>3.69496523553613</v>
      </c>
      <c r="M940">
        <v>6.8717448892845301</v>
      </c>
      <c r="N940">
        <v>74.0605377254833</v>
      </c>
      <c r="O940">
        <v>-12.2551972645976</v>
      </c>
      <c r="P940">
        <v>12.45776</v>
      </c>
      <c r="Q940">
        <v>6.7819799999999999</v>
      </c>
      <c r="R940">
        <v>171148290</v>
      </c>
      <c r="S940">
        <v>38.266300000000001</v>
      </c>
      <c r="T940">
        <v>2033300000</v>
      </c>
    </row>
    <row r="941" spans="1:20" x14ac:dyDescent="0.2">
      <c r="A941" t="s">
        <v>138</v>
      </c>
      <c r="B941" t="s">
        <v>75</v>
      </c>
      <c r="C941">
        <v>2019</v>
      </c>
      <c r="D941">
        <v>2763800000</v>
      </c>
      <c r="E941">
        <v>819070830</v>
      </c>
      <c r="F941">
        <v>886300000</v>
      </c>
      <c r="G941">
        <v>144900000</v>
      </c>
      <c r="H941">
        <v>1189600000</v>
      </c>
      <c r="I941">
        <v>1.9554766696692101</v>
      </c>
      <c r="J941">
        <v>2202757458.2600002</v>
      </c>
      <c r="K941">
        <v>95200000</v>
      </c>
      <c r="L941">
        <v>2.7869418490950202</v>
      </c>
      <c r="M941">
        <v>2.2142835324610499</v>
      </c>
      <c r="N941">
        <v>75.696161779312305</v>
      </c>
      <c r="O941">
        <v>22.674640957446801</v>
      </c>
      <c r="P941">
        <v>12.18374</v>
      </c>
      <c r="Q941">
        <v>6.4216300000000004</v>
      </c>
      <c r="R941">
        <v>234186750</v>
      </c>
      <c r="S941">
        <v>38.616199999999999</v>
      </c>
      <c r="T941">
        <v>2088800000</v>
      </c>
    </row>
    <row r="942" spans="1:20" x14ac:dyDescent="0.2">
      <c r="A942" t="s">
        <v>138</v>
      </c>
      <c r="B942" t="s">
        <v>75</v>
      </c>
      <c r="C942">
        <v>2020</v>
      </c>
      <c r="D942">
        <v>2891000000</v>
      </c>
      <c r="E942">
        <v>792557500</v>
      </c>
      <c r="F942">
        <v>954500000</v>
      </c>
      <c r="G942">
        <v>143100000</v>
      </c>
      <c r="H942">
        <v>1217700000</v>
      </c>
      <c r="I942">
        <v>1.8823077707498499</v>
      </c>
      <c r="J942">
        <v>1907606599.96</v>
      </c>
      <c r="K942">
        <v>116500000</v>
      </c>
      <c r="L942">
        <v>2.8033049344980601</v>
      </c>
      <c r="M942">
        <v>7.3438113700856196</v>
      </c>
      <c r="N942">
        <v>67.399893081111003</v>
      </c>
      <c r="O942">
        <v>4.4037642963699604</v>
      </c>
      <c r="P942">
        <v>15.28885</v>
      </c>
      <c r="Q942">
        <v>8.2932100000000002</v>
      </c>
      <c r="R942">
        <v>225571500</v>
      </c>
      <c r="S942">
        <v>39.225200000000001</v>
      </c>
      <c r="T942">
        <v>2185500000</v>
      </c>
    </row>
    <row r="943" spans="1:20" x14ac:dyDescent="0.2">
      <c r="A943" t="s">
        <v>138</v>
      </c>
      <c r="B943" t="s">
        <v>75</v>
      </c>
      <c r="C943">
        <v>2021</v>
      </c>
      <c r="D943">
        <v>2795700000</v>
      </c>
      <c r="E943">
        <v>748919500</v>
      </c>
      <c r="F943">
        <v>918800000</v>
      </c>
      <c r="G943">
        <v>159500000</v>
      </c>
      <c r="H943">
        <v>1192100000</v>
      </c>
      <c r="I943">
        <v>1.85042658327225</v>
      </c>
      <c r="J943">
        <v>2080036838.23</v>
      </c>
      <c r="K943">
        <v>138000000</v>
      </c>
      <c r="L943">
        <v>3.42626550615724</v>
      </c>
      <c r="M943">
        <v>1.9610029056407401</v>
      </c>
      <c r="N943">
        <v>75.366912665738099</v>
      </c>
      <c r="O943">
        <v>-3.8050869120654398</v>
      </c>
      <c r="P943">
        <v>17.851849999999999</v>
      </c>
      <c r="Q943">
        <v>9.7190200000000004</v>
      </c>
      <c r="R943">
        <v>225149710</v>
      </c>
      <c r="S943">
        <v>37.9754</v>
      </c>
      <c r="T943">
        <v>2124100000</v>
      </c>
    </row>
    <row r="944" spans="1:20" x14ac:dyDescent="0.2">
      <c r="A944" t="s">
        <v>138</v>
      </c>
      <c r="B944" t="s">
        <v>75</v>
      </c>
      <c r="C944">
        <v>2022</v>
      </c>
      <c r="D944">
        <v>3139300000</v>
      </c>
      <c r="E944">
        <v>874438000</v>
      </c>
      <c r="F944">
        <v>992200000</v>
      </c>
      <c r="G944">
        <v>142400000</v>
      </c>
      <c r="H944">
        <v>1328800000</v>
      </c>
      <c r="I944">
        <v>1.75851369904152</v>
      </c>
      <c r="J944">
        <v>2230719118.52</v>
      </c>
      <c r="K944">
        <v>115000000</v>
      </c>
      <c r="L944">
        <v>-2.5710470171748701</v>
      </c>
      <c r="M944">
        <v>-4.5091330159242897</v>
      </c>
      <c r="N944">
        <v>76.315308609277395</v>
      </c>
      <c r="O944">
        <v>26.947120853080602</v>
      </c>
      <c r="P944">
        <v>15.78298</v>
      </c>
      <c r="Q944">
        <v>8.29345</v>
      </c>
      <c r="R944">
        <v>275278430</v>
      </c>
      <c r="S944">
        <v>38.757899999999999</v>
      </c>
      <c r="T944">
        <v>2334900000</v>
      </c>
    </row>
    <row r="945" spans="1:20" x14ac:dyDescent="0.2">
      <c r="A945" t="s">
        <v>138</v>
      </c>
      <c r="B945" t="s">
        <v>75</v>
      </c>
      <c r="C945">
        <v>2023</v>
      </c>
      <c r="D945">
        <v>3651100000</v>
      </c>
      <c r="E945">
        <v>545869250</v>
      </c>
      <c r="F945">
        <v>1021800000</v>
      </c>
      <c r="G945">
        <v>250600000</v>
      </c>
      <c r="H945">
        <v>1669900000</v>
      </c>
      <c r="I945">
        <v>0.85720732987010995</v>
      </c>
      <c r="J945">
        <v>2438878144.9000001</v>
      </c>
      <c r="K945">
        <v>239700000</v>
      </c>
      <c r="L945">
        <v>-5.2520788493673498</v>
      </c>
      <c r="M945">
        <v>1.2045358053054001</v>
      </c>
      <c r="N945">
        <v>80.093675604839405</v>
      </c>
      <c r="O945">
        <v>21.1654240282685</v>
      </c>
      <c r="P945">
        <v>15.688029999999999</v>
      </c>
      <c r="Q945">
        <v>9.7938100000000006</v>
      </c>
      <c r="R945">
        <v>429950440</v>
      </c>
      <c r="S945">
        <v>39.438000000000002</v>
      </c>
      <c r="T945">
        <v>2706400000</v>
      </c>
    </row>
    <row r="946" spans="1:20" x14ac:dyDescent="0.2">
      <c r="A946" t="s">
        <v>138</v>
      </c>
      <c r="B946" t="s">
        <v>75</v>
      </c>
      <c r="C946">
        <v>2024</v>
      </c>
      <c r="D946">
        <v>3489300000</v>
      </c>
      <c r="E946">
        <v>244298330</v>
      </c>
      <c r="F946">
        <v>937800000</v>
      </c>
      <c r="G946">
        <v>402500000</v>
      </c>
      <c r="H946">
        <v>1664800000</v>
      </c>
      <c r="I946">
        <v>0.420764358212115</v>
      </c>
      <c r="J946">
        <v>2889371560.1999998</v>
      </c>
      <c r="K946">
        <v>211300000</v>
      </c>
      <c r="L946">
        <v>1.18014142607593</v>
      </c>
      <c r="M946">
        <v>6.3797154785327299</v>
      </c>
      <c r="N946">
        <v>77.410889599831805</v>
      </c>
      <c r="O946">
        <v>-8.6627672035139103</v>
      </c>
      <c r="P946">
        <v>19.673729999999999</v>
      </c>
      <c r="Q946">
        <v>13.656650000000001</v>
      </c>
      <c r="R946">
        <v>407367330</v>
      </c>
      <c r="S946">
        <v>34.500399999999999</v>
      </c>
      <c r="T946">
        <v>2622000000</v>
      </c>
    </row>
    <row r="947" spans="1:20" x14ac:dyDescent="0.2">
      <c r="A947" t="s">
        <v>138</v>
      </c>
      <c r="B947" t="s">
        <v>75</v>
      </c>
      <c r="C947">
        <v>2025</v>
      </c>
      <c r="D947">
        <v>3381000000</v>
      </c>
      <c r="E947">
        <v>310666670</v>
      </c>
      <c r="F947">
        <v>810700000</v>
      </c>
      <c r="G947">
        <v>519200000</v>
      </c>
      <c r="H947">
        <v>1785400000</v>
      </c>
      <c r="I947">
        <v>0.70770594011256005</v>
      </c>
      <c r="J947">
        <v>3015199031.3699999</v>
      </c>
      <c r="K947">
        <v>262700000</v>
      </c>
      <c r="L947">
        <v>3.29344978041365</v>
      </c>
      <c r="M947">
        <v>-3.6133748984416698</v>
      </c>
      <c r="N947">
        <v>69.692999890908794</v>
      </c>
      <c r="O947">
        <v>9.5120980274955205</v>
      </c>
      <c r="P947">
        <v>19.822939999999999</v>
      </c>
      <c r="Q947">
        <v>13.486649999999999</v>
      </c>
      <c r="R947">
        <v>336400000</v>
      </c>
      <c r="S947">
        <v>33.243099999999998</v>
      </c>
      <c r="T947">
        <v>2614200000</v>
      </c>
    </row>
    <row r="948" spans="1:20" x14ac:dyDescent="0.2">
      <c r="A948" t="s">
        <v>139</v>
      </c>
      <c r="B948" t="s">
        <v>76</v>
      </c>
      <c r="C948">
        <v>2004</v>
      </c>
      <c r="D948">
        <v>8610771488.7815495</v>
      </c>
      <c r="E948">
        <v>989239032.45192301</v>
      </c>
      <c r="F948">
        <v>1206279264.5683999</v>
      </c>
      <c r="G948">
        <v>124230423.028981</v>
      </c>
      <c r="H948">
        <v>4723603409.1617298</v>
      </c>
      <c r="I948" t="s">
        <v>18</v>
      </c>
      <c r="J948">
        <v>6516551717.5839195</v>
      </c>
      <c r="K948">
        <v>295088666.10162902</v>
      </c>
      <c r="L948" t="s">
        <v>18</v>
      </c>
      <c r="M948">
        <v>-1.4928500627372701</v>
      </c>
      <c r="N948" t="s">
        <v>18</v>
      </c>
      <c r="O948" t="s">
        <v>18</v>
      </c>
      <c r="P948">
        <v>39.446570000000001</v>
      </c>
      <c r="Q948">
        <v>15.33201</v>
      </c>
      <c r="R948">
        <v>654793288.76201904</v>
      </c>
      <c r="S948" t="s">
        <v>18</v>
      </c>
      <c r="T948">
        <v>6174165366.5472097</v>
      </c>
    </row>
    <row r="949" spans="1:20" x14ac:dyDescent="0.2">
      <c r="A949" t="s">
        <v>139</v>
      </c>
      <c r="B949" t="s">
        <v>76</v>
      </c>
      <c r="C949">
        <v>2005</v>
      </c>
      <c r="D949">
        <v>9846880325.6747704</v>
      </c>
      <c r="E949">
        <v>380897246.23410797</v>
      </c>
      <c r="F949">
        <v>1376062450.59112</v>
      </c>
      <c r="G949">
        <v>294238275.26210099</v>
      </c>
      <c r="H949">
        <v>5662885759.0899</v>
      </c>
      <c r="I949" t="s">
        <v>18</v>
      </c>
      <c r="J949">
        <v>13969888934.2393</v>
      </c>
      <c r="K949">
        <v>447949342.673145</v>
      </c>
      <c r="L949" t="s">
        <v>18</v>
      </c>
      <c r="M949">
        <v>-5.7240027628095902</v>
      </c>
      <c r="N949" t="s">
        <v>18</v>
      </c>
      <c r="O949" t="s">
        <v>18</v>
      </c>
      <c r="P949">
        <v>42.032730000000001</v>
      </c>
      <c r="Q949">
        <v>19.270479999999999</v>
      </c>
      <c r="R949">
        <v>926669509.22920597</v>
      </c>
      <c r="S949" t="s">
        <v>18</v>
      </c>
      <c r="T949">
        <v>7247896213.2500601</v>
      </c>
    </row>
    <row r="950" spans="1:20" x14ac:dyDescent="0.2">
      <c r="A950" t="s">
        <v>139</v>
      </c>
      <c r="B950" t="s">
        <v>76</v>
      </c>
      <c r="C950">
        <v>2006</v>
      </c>
      <c r="D950">
        <v>11160987988.505699</v>
      </c>
      <c r="E950">
        <v>699673205.18683898</v>
      </c>
      <c r="F950">
        <v>1333601206.8965499</v>
      </c>
      <c r="G950">
        <v>578035000</v>
      </c>
      <c r="H950">
        <v>6082018793.1034498</v>
      </c>
      <c r="I950" t="s">
        <v>18</v>
      </c>
      <c r="J950">
        <v>20095519729.011299</v>
      </c>
      <c r="K950">
        <v>634461895.02377701</v>
      </c>
      <c r="L950" t="s">
        <v>18</v>
      </c>
      <c r="M950">
        <v>-6.2342597109315401</v>
      </c>
      <c r="N950" t="s">
        <v>18</v>
      </c>
      <c r="O950" t="s">
        <v>18</v>
      </c>
      <c r="P950">
        <v>42.533360000000002</v>
      </c>
      <c r="Q950">
        <v>23.506789999999999</v>
      </c>
      <c r="R950">
        <v>1418832765.8805699</v>
      </c>
      <c r="S950" t="s">
        <v>18</v>
      </c>
      <c r="T950">
        <v>7918780000</v>
      </c>
    </row>
    <row r="951" spans="1:20" x14ac:dyDescent="0.2">
      <c r="A951" t="s">
        <v>139</v>
      </c>
      <c r="B951" t="s">
        <v>76</v>
      </c>
      <c r="C951">
        <v>2007</v>
      </c>
      <c r="D951">
        <v>13418369142.6513</v>
      </c>
      <c r="E951">
        <v>2220165549.85321</v>
      </c>
      <c r="F951">
        <v>1763200385.2065301</v>
      </c>
      <c r="G951">
        <v>1125868343.9001</v>
      </c>
      <c r="H951">
        <v>7095351007.2046099</v>
      </c>
      <c r="I951" t="s">
        <v>18</v>
      </c>
      <c r="J951">
        <v>29939856737.569</v>
      </c>
      <c r="K951">
        <v>1016272694.53345</v>
      </c>
      <c r="L951" t="s">
        <v>18</v>
      </c>
      <c r="M951">
        <v>8.6178785408037104</v>
      </c>
      <c r="N951" t="s">
        <v>18</v>
      </c>
      <c r="O951" t="s">
        <v>18</v>
      </c>
      <c r="P951">
        <v>45.30959</v>
      </c>
      <c r="Q951">
        <v>26.864429999999999</v>
      </c>
      <c r="R951">
        <v>1926328947.1737399</v>
      </c>
      <c r="S951" t="s">
        <v>18</v>
      </c>
      <c r="T951">
        <v>9321390583.5734901</v>
      </c>
    </row>
    <row r="952" spans="1:20" x14ac:dyDescent="0.2">
      <c r="A952" t="s">
        <v>139</v>
      </c>
      <c r="B952" t="s">
        <v>76</v>
      </c>
      <c r="C952">
        <v>2008</v>
      </c>
      <c r="D952">
        <v>13995056907.749901</v>
      </c>
      <c r="E952">
        <v>2461684233.0293002</v>
      </c>
      <c r="F952">
        <v>2763908856.2307401</v>
      </c>
      <c r="G952">
        <v>175625811.867019</v>
      </c>
      <c r="H952">
        <v>6464840841.0391903</v>
      </c>
      <c r="I952" t="s">
        <v>18</v>
      </c>
      <c r="J952">
        <v>17319604221.150799</v>
      </c>
      <c r="K952">
        <v>1543468829.8348801</v>
      </c>
      <c r="L952" t="s">
        <v>18</v>
      </c>
      <c r="M952">
        <v>26.7357154359023</v>
      </c>
      <c r="N952">
        <v>44.139470606643201</v>
      </c>
      <c r="O952" t="s">
        <v>18</v>
      </c>
      <c r="P952">
        <v>44.857729999999997</v>
      </c>
      <c r="Q952">
        <v>30.477820000000001</v>
      </c>
      <c r="R952">
        <v>2538594883.26371</v>
      </c>
      <c r="S952" t="s">
        <v>18</v>
      </c>
      <c r="T952">
        <v>9714465422.7212696</v>
      </c>
    </row>
    <row r="953" spans="1:20" x14ac:dyDescent="0.2">
      <c r="A953" t="s">
        <v>139</v>
      </c>
      <c r="B953" t="s">
        <v>76</v>
      </c>
      <c r="C953">
        <v>2009</v>
      </c>
      <c r="D953">
        <v>17710271358.689999</v>
      </c>
      <c r="E953">
        <v>3836340382.3714299</v>
      </c>
      <c r="F953">
        <v>3982439019.0436301</v>
      </c>
      <c r="G953">
        <v>191821505.17945001</v>
      </c>
      <c r="H953">
        <v>6484577446.8975601</v>
      </c>
      <c r="I953" t="s">
        <v>18</v>
      </c>
      <c r="J953">
        <v>17978106583.684101</v>
      </c>
      <c r="K953">
        <v>1902011987.61848</v>
      </c>
      <c r="L953" t="s">
        <v>18</v>
      </c>
      <c r="M953">
        <v>14.0433549408048</v>
      </c>
      <c r="N953">
        <v>34.762839296665597</v>
      </c>
      <c r="O953" t="s">
        <v>18</v>
      </c>
      <c r="P953">
        <v>49.647199999999998</v>
      </c>
      <c r="Q953">
        <v>36.196309999999997</v>
      </c>
      <c r="R953">
        <v>2708809498.9201798</v>
      </c>
      <c r="S953">
        <v>27.426300000000001</v>
      </c>
      <c r="T953">
        <v>10922073219.1064</v>
      </c>
    </row>
    <row r="954" spans="1:20" x14ac:dyDescent="0.2">
      <c r="A954" t="s">
        <v>139</v>
      </c>
      <c r="B954" t="s">
        <v>76</v>
      </c>
      <c r="C954">
        <v>2010</v>
      </c>
      <c r="D954">
        <v>20155439771.4534</v>
      </c>
      <c r="E954">
        <v>6184442359.4932003</v>
      </c>
      <c r="F954">
        <v>5960435392.0661697</v>
      </c>
      <c r="G954">
        <v>244027773.84774399</v>
      </c>
      <c r="H954">
        <v>7615833145.7800503</v>
      </c>
      <c r="I954" t="s">
        <v>18</v>
      </c>
      <c r="J954">
        <v>16239945728.855</v>
      </c>
      <c r="K954">
        <v>1966806924.8666799</v>
      </c>
      <c r="L954" t="s">
        <v>18</v>
      </c>
      <c r="M954">
        <v>33.134273885032101</v>
      </c>
      <c r="N954">
        <v>39.615675648935003</v>
      </c>
      <c r="O954" t="s">
        <v>18</v>
      </c>
      <c r="P954">
        <v>49.47645</v>
      </c>
      <c r="Q954">
        <v>34.733029999999999</v>
      </c>
      <c r="R954">
        <v>2549599476.6939001</v>
      </c>
      <c r="S954">
        <v>28.9312</v>
      </c>
      <c r="T954">
        <v>13816267192.686501</v>
      </c>
    </row>
    <row r="955" spans="1:20" x14ac:dyDescent="0.2">
      <c r="A955" t="s">
        <v>139</v>
      </c>
      <c r="B955" t="s">
        <v>76</v>
      </c>
      <c r="C955">
        <v>2011</v>
      </c>
      <c r="D955">
        <v>21799203516.7131</v>
      </c>
      <c r="E955">
        <v>6364139160.8023396</v>
      </c>
      <c r="F955">
        <v>6585071362.7598</v>
      </c>
      <c r="G955">
        <v>887505391.57917297</v>
      </c>
      <c r="H955">
        <v>8867085068.0308609</v>
      </c>
      <c r="I955" t="s">
        <v>18</v>
      </c>
      <c r="J955">
        <v>15861193999.518299</v>
      </c>
      <c r="K955">
        <v>2277030157.8530302</v>
      </c>
      <c r="L955" t="s">
        <v>18</v>
      </c>
      <c r="M955">
        <v>32.091107370304499</v>
      </c>
      <c r="N955">
        <v>36.844214916239899</v>
      </c>
      <c r="O955" t="s">
        <v>18</v>
      </c>
      <c r="P955">
        <v>48.024120000000003</v>
      </c>
      <c r="Q955">
        <v>32.620899999999999</v>
      </c>
      <c r="R955">
        <v>2316820939.5704098</v>
      </c>
      <c r="S955">
        <v>27.269600000000001</v>
      </c>
      <c r="T955">
        <v>15677246346.689501</v>
      </c>
    </row>
    <row r="956" spans="1:20" x14ac:dyDescent="0.2">
      <c r="A956" t="s">
        <v>139</v>
      </c>
      <c r="B956" t="s">
        <v>76</v>
      </c>
      <c r="C956">
        <v>2012</v>
      </c>
      <c r="D956">
        <v>23423247643.421902</v>
      </c>
      <c r="E956">
        <v>7176420700.2994099</v>
      </c>
      <c r="F956">
        <v>7416853461.3825302</v>
      </c>
      <c r="G956">
        <v>863718578.95803797</v>
      </c>
      <c r="H956">
        <v>8880109086.7626209</v>
      </c>
      <c r="I956" t="s">
        <v>18</v>
      </c>
      <c r="J956">
        <v>13760430152.320601</v>
      </c>
      <c r="K956">
        <v>1660542011.4779899</v>
      </c>
      <c r="L956" t="s">
        <v>18</v>
      </c>
      <c r="M956">
        <v>17.526230248947201</v>
      </c>
      <c r="N956">
        <v>35.961065545911602</v>
      </c>
      <c r="O956" t="s">
        <v>18</v>
      </c>
      <c r="P956">
        <v>43.38747</v>
      </c>
      <c r="Q956">
        <v>29.40823</v>
      </c>
      <c r="R956">
        <v>2373978862.5314598</v>
      </c>
      <c r="S956">
        <v>24.3749</v>
      </c>
      <c r="T956">
        <v>16507000177.3769</v>
      </c>
    </row>
    <row r="957" spans="1:20" x14ac:dyDescent="0.2">
      <c r="A957" t="s">
        <v>139</v>
      </c>
      <c r="B957" t="s">
        <v>76</v>
      </c>
      <c r="C957">
        <v>2013</v>
      </c>
      <c r="D957">
        <v>25393214348.169601</v>
      </c>
      <c r="E957">
        <v>6416289133.7127104</v>
      </c>
      <c r="F957">
        <v>7700762623.1235199</v>
      </c>
      <c r="G957">
        <v>243724076.90281799</v>
      </c>
      <c r="H957">
        <v>9989892609.9552307</v>
      </c>
      <c r="I957" t="s">
        <v>18</v>
      </c>
      <c r="J957">
        <v>10990158296.4958</v>
      </c>
      <c r="K957">
        <v>1599817150.2913401</v>
      </c>
      <c r="L957" t="s">
        <v>18</v>
      </c>
      <c r="M957">
        <v>9.4550356163904699</v>
      </c>
      <c r="N957">
        <v>34.784391333703603</v>
      </c>
      <c r="O957" t="s">
        <v>18</v>
      </c>
      <c r="P957">
        <v>41.168320000000001</v>
      </c>
      <c r="Q957">
        <v>26.589649999999999</v>
      </c>
      <c r="R957">
        <v>1911025903.82866</v>
      </c>
      <c r="S957">
        <v>28.213100000000001</v>
      </c>
      <c r="T957">
        <v>17849704655.2542</v>
      </c>
    </row>
    <row r="958" spans="1:20" x14ac:dyDescent="0.2">
      <c r="A958" t="s">
        <v>139</v>
      </c>
      <c r="B958" t="s">
        <v>76</v>
      </c>
      <c r="C958">
        <v>2014</v>
      </c>
      <c r="D958">
        <v>23452745935.769699</v>
      </c>
      <c r="E958">
        <v>6228009468.5021696</v>
      </c>
      <c r="F958">
        <v>7288437563.67663</v>
      </c>
      <c r="G958">
        <v>419875470.65337801</v>
      </c>
      <c r="H958">
        <v>9451354728.6821709</v>
      </c>
      <c r="I958">
        <v>2.3893585999623399</v>
      </c>
      <c r="J958">
        <v>12174658682.9506</v>
      </c>
      <c r="K958">
        <v>1357428162.73771</v>
      </c>
      <c r="L958">
        <v>-1.06420941001938</v>
      </c>
      <c r="M958">
        <v>-0.24368245889519999</v>
      </c>
      <c r="N958">
        <v>33.0544639596894</v>
      </c>
      <c r="O958">
        <v>-11.061080748311801</v>
      </c>
      <c r="P958">
        <v>39.02704</v>
      </c>
      <c r="Q958">
        <v>24.526240000000001</v>
      </c>
      <c r="R958">
        <v>1505114374.29231</v>
      </c>
      <c r="S958">
        <v>27.730599999999999</v>
      </c>
      <c r="T958">
        <v>16911551207.0875</v>
      </c>
    </row>
    <row r="959" spans="1:20" x14ac:dyDescent="0.2">
      <c r="A959" t="s">
        <v>139</v>
      </c>
      <c r="B959" t="s">
        <v>76</v>
      </c>
      <c r="C959">
        <v>2015</v>
      </c>
      <c r="D959">
        <v>22732512942.361599</v>
      </c>
      <c r="E959">
        <v>5666749204.4203196</v>
      </c>
      <c r="F959">
        <v>6666712118.9558496</v>
      </c>
      <c r="G959">
        <v>471218016.38051897</v>
      </c>
      <c r="H959">
        <v>9460855737.5613194</v>
      </c>
      <c r="I959">
        <v>2.2796901893437198</v>
      </c>
      <c r="J959">
        <v>9351564583.1531792</v>
      </c>
      <c r="K959">
        <v>815430108.090397</v>
      </c>
      <c r="L959">
        <v>3.6446932314618898</v>
      </c>
      <c r="M959">
        <v>-12.747848798961799</v>
      </c>
      <c r="N959">
        <v>27.160357406105899</v>
      </c>
      <c r="O959">
        <v>3.0953134105822202</v>
      </c>
      <c r="P959">
        <v>37.347589999999997</v>
      </c>
      <c r="Q959">
        <v>21.45514</v>
      </c>
      <c r="R959">
        <v>1428087370.6529901</v>
      </c>
      <c r="S959">
        <v>29.0245</v>
      </c>
      <c r="T959">
        <v>16292050641.643299</v>
      </c>
    </row>
    <row r="960" spans="1:20" x14ac:dyDescent="0.2">
      <c r="A960" t="s">
        <v>139</v>
      </c>
      <c r="B960" t="s">
        <v>76</v>
      </c>
      <c r="C960">
        <v>2016</v>
      </c>
      <c r="D960">
        <v>22322484842.1222</v>
      </c>
      <c r="E960">
        <v>5131748719.0992603</v>
      </c>
      <c r="F960">
        <v>5833315238.3250904</v>
      </c>
      <c r="G960">
        <v>258305335.26406801</v>
      </c>
      <c r="H960">
        <v>9922310177.7885094</v>
      </c>
      <c r="I960">
        <v>2.3851596125514098</v>
      </c>
      <c r="J960">
        <v>8257830990.1600199</v>
      </c>
      <c r="K960">
        <v>753947687.43409097</v>
      </c>
      <c r="L960">
        <v>-4.1457725456037001E-2</v>
      </c>
      <c r="M960">
        <v>-12.7250285079054</v>
      </c>
      <c r="N960">
        <v>44.808035056841</v>
      </c>
      <c r="O960">
        <v>7.6879193499959602</v>
      </c>
      <c r="P960">
        <v>33.414940000000001</v>
      </c>
      <c r="Q960">
        <v>17.91469</v>
      </c>
      <c r="R960">
        <v>1044654132.1325001</v>
      </c>
      <c r="S960">
        <v>27.523099999999999</v>
      </c>
      <c r="T960">
        <v>15913482791.9231</v>
      </c>
    </row>
    <row r="961" spans="1:20" x14ac:dyDescent="0.2">
      <c r="A961" t="s">
        <v>139</v>
      </c>
      <c r="B961" t="s">
        <v>76</v>
      </c>
      <c r="C961">
        <v>2017</v>
      </c>
      <c r="D961">
        <v>23395818746.101101</v>
      </c>
      <c r="E961">
        <v>5627078205.6829596</v>
      </c>
      <c r="F961">
        <v>6223743730.5052996</v>
      </c>
      <c r="G961">
        <v>285011384.90330601</v>
      </c>
      <c r="H961">
        <v>9524312788.5215206</v>
      </c>
      <c r="I961">
        <v>2.68171666198071</v>
      </c>
      <c r="J961">
        <v>10438125740.495001</v>
      </c>
      <c r="K961">
        <v>539590967.22090197</v>
      </c>
      <c r="L961">
        <v>0.42506809843722698</v>
      </c>
      <c r="M961">
        <v>-7.7585736857206404</v>
      </c>
      <c r="N961">
        <v>48.439258449094702</v>
      </c>
      <c r="O961">
        <v>-11.1566569919505</v>
      </c>
      <c r="P961">
        <v>30.540220000000001</v>
      </c>
      <c r="Q961">
        <v>14.632020000000001</v>
      </c>
      <c r="R961">
        <v>892848073.83440495</v>
      </c>
      <c r="S961">
        <v>24.370200000000001</v>
      </c>
      <c r="T961">
        <v>15916726887.0867</v>
      </c>
    </row>
    <row r="962" spans="1:20" x14ac:dyDescent="0.2">
      <c r="A962" t="s">
        <v>139</v>
      </c>
      <c r="B962" t="s">
        <v>76</v>
      </c>
      <c r="C962">
        <v>2018</v>
      </c>
      <c r="D962">
        <v>24442817965.034302</v>
      </c>
      <c r="E962">
        <v>5437859392.6282501</v>
      </c>
      <c r="F962">
        <v>6045298348.99897</v>
      </c>
      <c r="G962">
        <v>324895560.20302701</v>
      </c>
      <c r="H962">
        <v>9794976265.6264706</v>
      </c>
      <c r="I962">
        <v>2.80153201491254</v>
      </c>
      <c r="J962">
        <v>11338352528.438999</v>
      </c>
      <c r="K962">
        <v>721035479.97986197</v>
      </c>
      <c r="L962">
        <v>6.3034593901716498</v>
      </c>
      <c r="M962">
        <v>-10.526640965988801</v>
      </c>
      <c r="N962">
        <v>58.163022375200903</v>
      </c>
      <c r="O962" t="s">
        <v>18</v>
      </c>
      <c r="P962">
        <v>28.35829</v>
      </c>
      <c r="Q962">
        <v>11.760300000000001</v>
      </c>
      <c r="R962">
        <v>884183648.07832098</v>
      </c>
      <c r="S962">
        <v>27.899699999999999</v>
      </c>
      <c r="T962">
        <v>16008892785.506201</v>
      </c>
    </row>
    <row r="963" spans="1:20" x14ac:dyDescent="0.2">
      <c r="A963" t="s">
        <v>139</v>
      </c>
      <c r="B963" t="s">
        <v>76</v>
      </c>
      <c r="C963">
        <v>2019</v>
      </c>
      <c r="D963">
        <v>27518791013.160801</v>
      </c>
      <c r="E963">
        <v>6135148941.7612</v>
      </c>
      <c r="F963">
        <v>6261408642.4269505</v>
      </c>
      <c r="G963">
        <v>166176321.21347299</v>
      </c>
      <c r="H963">
        <v>9130400817.3098392</v>
      </c>
      <c r="I963">
        <v>2.6466528970654601</v>
      </c>
      <c r="J963">
        <v>10822498938.061399</v>
      </c>
      <c r="K963">
        <v>409728193.27141398</v>
      </c>
      <c r="L963">
        <v>6.0935067985238502</v>
      </c>
      <c r="M963">
        <v>-10.625772168452601</v>
      </c>
      <c r="N963">
        <v>63.199590931570299</v>
      </c>
      <c r="O963">
        <v>26.301309117657201</v>
      </c>
      <c r="P963">
        <v>29.224350000000001</v>
      </c>
      <c r="Q963">
        <v>11.48424</v>
      </c>
      <c r="R963">
        <v>1131347820.0093701</v>
      </c>
      <c r="S963">
        <v>31.333400000000001</v>
      </c>
      <c r="T963">
        <v>15569188679.0096</v>
      </c>
    </row>
    <row r="964" spans="1:20" x14ac:dyDescent="0.2">
      <c r="A964" t="s">
        <v>139</v>
      </c>
      <c r="B964" t="s">
        <v>76</v>
      </c>
      <c r="C964">
        <v>2020</v>
      </c>
      <c r="D964">
        <v>27734634297.061199</v>
      </c>
      <c r="E964">
        <v>6201224635.15271</v>
      </c>
      <c r="F964">
        <v>6766343199.1880703</v>
      </c>
      <c r="G964">
        <v>182962442.85588199</v>
      </c>
      <c r="H964">
        <v>9870878901.2443695</v>
      </c>
      <c r="I964">
        <v>2.4283616673999799</v>
      </c>
      <c r="J964">
        <v>9548458793.9354992</v>
      </c>
      <c r="K964">
        <v>565244494.55582905</v>
      </c>
      <c r="L964">
        <v>-1.64206125758304</v>
      </c>
      <c r="M964">
        <v>-3.59993442316593</v>
      </c>
      <c r="N964">
        <v>63.927803234409303</v>
      </c>
      <c r="O964">
        <v>26.865203991695001</v>
      </c>
      <c r="P964">
        <v>28.080439999999999</v>
      </c>
      <c r="Q964">
        <v>11.67057</v>
      </c>
      <c r="R964">
        <v>1248735007.5418799</v>
      </c>
      <c r="S964">
        <v>34.679000000000002</v>
      </c>
      <c r="T964">
        <v>16818413177.124701</v>
      </c>
    </row>
    <row r="965" spans="1:20" x14ac:dyDescent="0.2">
      <c r="A965" t="s">
        <v>139</v>
      </c>
      <c r="B965" t="s">
        <v>76</v>
      </c>
      <c r="C965">
        <v>2021</v>
      </c>
      <c r="D965">
        <v>26818324726.068901</v>
      </c>
      <c r="E965">
        <v>5203336318.9760103</v>
      </c>
      <c r="F965">
        <v>5796425961.6729603</v>
      </c>
      <c r="G965">
        <v>209672662.843288</v>
      </c>
      <c r="H965">
        <v>8928688152.1891193</v>
      </c>
      <c r="I965">
        <v>2.0381130811072699</v>
      </c>
      <c r="J965">
        <v>15683918289.4636</v>
      </c>
      <c r="K965">
        <v>207001457.22753599</v>
      </c>
      <c r="L965">
        <v>6.48331051784678</v>
      </c>
      <c r="M965">
        <v>-0.220975070761953</v>
      </c>
      <c r="N965">
        <v>66.746406724066205</v>
      </c>
      <c r="O965">
        <v>17.904436347552899</v>
      </c>
      <c r="P965">
        <v>29.811669999999999</v>
      </c>
      <c r="Q965">
        <v>14.498239999999999</v>
      </c>
      <c r="R965">
        <v>935987831.348858</v>
      </c>
      <c r="S965">
        <v>19.8202</v>
      </c>
      <c r="T965">
        <v>14904244509.7216</v>
      </c>
    </row>
    <row r="966" spans="1:20" x14ac:dyDescent="0.2">
      <c r="A966" t="s">
        <v>139</v>
      </c>
      <c r="B966" t="s">
        <v>76</v>
      </c>
      <c r="C966">
        <v>2022</v>
      </c>
      <c r="D966">
        <v>47631883951.668297</v>
      </c>
      <c r="E966">
        <v>4367881269.7744703</v>
      </c>
      <c r="F966">
        <v>5551572950.7071304</v>
      </c>
      <c r="G966">
        <v>1069127708.36194</v>
      </c>
      <c r="H966">
        <v>6485947488.6722498</v>
      </c>
      <c r="I966">
        <v>0.88107335985167001</v>
      </c>
      <c r="J966">
        <v>17531298057.713501</v>
      </c>
      <c r="K966">
        <v>386800358.35043103</v>
      </c>
      <c r="L966">
        <v>15.357232282916399</v>
      </c>
      <c r="M966">
        <v>-1.9458385519216601</v>
      </c>
      <c r="N966">
        <v>67.442007148341403</v>
      </c>
      <c r="O966">
        <v>12.1313396406305</v>
      </c>
      <c r="P966">
        <v>31.778919999999999</v>
      </c>
      <c r="Q966">
        <v>16.048249999999999</v>
      </c>
      <c r="R966">
        <v>3432172400.9335599</v>
      </c>
      <c r="S966">
        <v>37.907200000000003</v>
      </c>
      <c r="T966">
        <v>12107654894.960899</v>
      </c>
    </row>
    <row r="967" spans="1:20" x14ac:dyDescent="0.2">
      <c r="A967" t="s">
        <v>139</v>
      </c>
      <c r="B967" t="s">
        <v>76</v>
      </c>
      <c r="C967">
        <v>2023</v>
      </c>
      <c r="D967">
        <v>45878153409.594803</v>
      </c>
      <c r="E967">
        <v>6117404702.9025898</v>
      </c>
      <c r="F967">
        <v>8374799255.1210403</v>
      </c>
      <c r="G967">
        <v>209550199.52114901</v>
      </c>
      <c r="H967">
        <v>10725506712.7782</v>
      </c>
      <c r="I967">
        <v>1.3116957530739</v>
      </c>
      <c r="J967">
        <v>21725571136.502701</v>
      </c>
      <c r="K967">
        <v>3289861689.1531901</v>
      </c>
      <c r="L967">
        <v>4.1257842176389401</v>
      </c>
      <c r="M967">
        <v>2.03968790050078</v>
      </c>
      <c r="N967">
        <v>69.007126453191205</v>
      </c>
      <c r="O967">
        <v>16.200385064033</v>
      </c>
      <c r="P967">
        <v>33.439599999999999</v>
      </c>
      <c r="Q967">
        <v>20.51606</v>
      </c>
      <c r="R967">
        <v>3475006441.9531598</v>
      </c>
      <c r="S967">
        <v>39.091900000000003</v>
      </c>
      <c r="T967">
        <v>19157271472.9095</v>
      </c>
    </row>
    <row r="968" spans="1:20" x14ac:dyDescent="0.2">
      <c r="A968" t="s">
        <v>139</v>
      </c>
      <c r="B968" t="s">
        <v>76</v>
      </c>
      <c r="C968">
        <v>2024</v>
      </c>
      <c r="D968">
        <v>33475771271.027199</v>
      </c>
      <c r="E968">
        <v>7159394766.3140697</v>
      </c>
      <c r="F968">
        <v>6847459659.09091</v>
      </c>
      <c r="G968">
        <v>225924413.47530401</v>
      </c>
      <c r="H968">
        <v>9893648835.0035801</v>
      </c>
      <c r="I968">
        <v>1.45530358857122</v>
      </c>
      <c r="J968">
        <v>20509551130.178101</v>
      </c>
      <c r="K968">
        <v>1234169842.7579601</v>
      </c>
      <c r="L968">
        <v>-5.2179403378073701</v>
      </c>
      <c r="M968">
        <v>11.815904095324999</v>
      </c>
      <c r="N968">
        <v>69.941678884169406</v>
      </c>
      <c r="O968">
        <v>30.027361802499701</v>
      </c>
      <c r="P968">
        <v>32.503030000000003</v>
      </c>
      <c r="Q968">
        <v>21.998370000000001</v>
      </c>
      <c r="R968">
        <v>3391626424.5278001</v>
      </c>
      <c r="S968">
        <v>15.169</v>
      </c>
      <c r="T968">
        <v>16803903562.544701</v>
      </c>
    </row>
    <row r="969" spans="1:20" x14ac:dyDescent="0.2">
      <c r="A969" t="s">
        <v>139</v>
      </c>
      <c r="B969" t="s">
        <v>76</v>
      </c>
      <c r="C969">
        <v>2025</v>
      </c>
      <c r="D969">
        <v>35817163566.847603</v>
      </c>
      <c r="E969">
        <v>9783505437.9438896</v>
      </c>
      <c r="F969">
        <v>9774515667.6533508</v>
      </c>
      <c r="G969">
        <v>286386729.156389</v>
      </c>
      <c r="H969">
        <v>9501511124.8150005</v>
      </c>
      <c r="I969">
        <v>1.7931197933399401</v>
      </c>
      <c r="J969">
        <v>28408812178.550999</v>
      </c>
      <c r="K969">
        <v>1216340706.2786701</v>
      </c>
      <c r="L969">
        <v>-12.1297782615485</v>
      </c>
      <c r="M969">
        <v>12.672013531121401</v>
      </c>
      <c r="N969">
        <v>65.274828496382597</v>
      </c>
      <c r="O969">
        <v>23.9869711544913</v>
      </c>
      <c r="P969">
        <v>38.555430000000001</v>
      </c>
      <c r="Q969">
        <v>26.299720000000001</v>
      </c>
      <c r="R969">
        <v>3349190616.1113801</v>
      </c>
      <c r="S969">
        <v>18.175699999999999</v>
      </c>
      <c r="T969">
        <v>19738248302.088501</v>
      </c>
    </row>
    <row r="970" spans="1:20" x14ac:dyDescent="0.2">
      <c r="A970" t="s">
        <v>140</v>
      </c>
      <c r="B970" t="s">
        <v>77</v>
      </c>
      <c r="C970">
        <v>2004</v>
      </c>
      <c r="D970">
        <v>4046268000</v>
      </c>
      <c r="E970">
        <v>1265580000</v>
      </c>
      <c r="F970">
        <v>1734822000</v>
      </c>
      <c r="G970">
        <v>375367000</v>
      </c>
      <c r="H970">
        <v>1363439000</v>
      </c>
      <c r="I970" t="s">
        <v>18</v>
      </c>
      <c r="J970">
        <v>2935877309.4000001</v>
      </c>
      <c r="K970">
        <v>297701000</v>
      </c>
      <c r="L970" t="s">
        <v>18</v>
      </c>
      <c r="M970">
        <v>-29.672586752218098</v>
      </c>
      <c r="N970" t="s">
        <v>18</v>
      </c>
      <c r="O970" t="s">
        <v>18</v>
      </c>
      <c r="P970">
        <v>26.59413</v>
      </c>
      <c r="Q970">
        <v>18.321809999999999</v>
      </c>
      <c r="R970">
        <v>316138330</v>
      </c>
      <c r="S970" t="s">
        <v>18</v>
      </c>
      <c r="T970">
        <v>3101175000</v>
      </c>
    </row>
    <row r="971" spans="1:20" x14ac:dyDescent="0.2">
      <c r="A971" t="s">
        <v>140</v>
      </c>
      <c r="B971" t="s">
        <v>77</v>
      </c>
      <c r="C971">
        <v>2005</v>
      </c>
      <c r="D971">
        <v>4702474000</v>
      </c>
      <c r="E971">
        <v>1498935500</v>
      </c>
      <c r="F971">
        <v>2126748000</v>
      </c>
      <c r="G971">
        <v>220292000</v>
      </c>
      <c r="H971">
        <v>1381725000</v>
      </c>
      <c r="I971" t="s">
        <v>18</v>
      </c>
      <c r="J971">
        <v>2863875413.4000001</v>
      </c>
      <c r="K971">
        <v>-48964000</v>
      </c>
      <c r="L971" t="s">
        <v>18</v>
      </c>
      <c r="M971">
        <v>4.2321114531803898</v>
      </c>
      <c r="N971">
        <v>13.6978216818642</v>
      </c>
      <c r="O971" t="s">
        <v>18</v>
      </c>
      <c r="P971">
        <v>36.720590000000001</v>
      </c>
      <c r="Q971">
        <v>29.323119999999999</v>
      </c>
      <c r="R971">
        <v>323250000</v>
      </c>
      <c r="S971" t="s">
        <v>18</v>
      </c>
      <c r="T971">
        <v>3511923000</v>
      </c>
    </row>
    <row r="972" spans="1:20" x14ac:dyDescent="0.2">
      <c r="A972" t="s">
        <v>140</v>
      </c>
      <c r="B972" t="s">
        <v>77</v>
      </c>
      <c r="C972">
        <v>2006</v>
      </c>
      <c r="D972">
        <v>13339000000</v>
      </c>
      <c r="E972">
        <v>5227126670</v>
      </c>
      <c r="F972">
        <v>11043000000</v>
      </c>
      <c r="G972">
        <v>192000000</v>
      </c>
      <c r="H972">
        <v>1959000000</v>
      </c>
      <c r="I972" t="s">
        <v>18</v>
      </c>
      <c r="J972">
        <v>4359714802.8000002</v>
      </c>
      <c r="K972">
        <v>241000000</v>
      </c>
      <c r="L972" t="s">
        <v>18</v>
      </c>
      <c r="M972">
        <v>80.698347106491397</v>
      </c>
      <c r="N972">
        <v>12.431239737274201</v>
      </c>
      <c r="O972" t="s">
        <v>18</v>
      </c>
      <c r="P972">
        <v>25.302779999999998</v>
      </c>
      <c r="Q972">
        <v>13.68249</v>
      </c>
      <c r="R972">
        <v>735652800</v>
      </c>
      <c r="S972" t="s">
        <v>18</v>
      </c>
      <c r="T972">
        <v>15042000000</v>
      </c>
    </row>
    <row r="973" spans="1:20" x14ac:dyDescent="0.2">
      <c r="A973" t="s">
        <v>140</v>
      </c>
      <c r="B973" t="s">
        <v>77</v>
      </c>
      <c r="C973">
        <v>2007</v>
      </c>
      <c r="D973">
        <v>13094000000</v>
      </c>
      <c r="E973">
        <v>4991715670</v>
      </c>
      <c r="F973">
        <v>8296000000</v>
      </c>
      <c r="G973">
        <v>253000000</v>
      </c>
      <c r="H973">
        <v>2740000000</v>
      </c>
      <c r="I973" t="s">
        <v>18</v>
      </c>
      <c r="J973">
        <v>5166136038</v>
      </c>
      <c r="K973">
        <v>398000000</v>
      </c>
      <c r="L973" t="s">
        <v>18</v>
      </c>
      <c r="M973">
        <v>17.8852521998712</v>
      </c>
      <c r="N973">
        <v>11.840657415194899</v>
      </c>
      <c r="O973" t="s">
        <v>18</v>
      </c>
      <c r="P973">
        <v>20.605619999999998</v>
      </c>
      <c r="Q973">
        <v>10.973319999999999</v>
      </c>
      <c r="R973">
        <v>898957430</v>
      </c>
      <c r="S973" t="s">
        <v>18</v>
      </c>
      <c r="T973">
        <v>13035000000</v>
      </c>
    </row>
    <row r="974" spans="1:20" x14ac:dyDescent="0.2">
      <c r="A974" t="s">
        <v>140</v>
      </c>
      <c r="B974" t="s">
        <v>77</v>
      </c>
      <c r="C974">
        <v>2008</v>
      </c>
      <c r="D974">
        <v>6843000000</v>
      </c>
      <c r="E974">
        <v>3895560440</v>
      </c>
      <c r="F974">
        <v>2153000000</v>
      </c>
      <c r="G974">
        <v>32000000</v>
      </c>
      <c r="H974">
        <v>2260000000</v>
      </c>
      <c r="I974" t="s">
        <v>18</v>
      </c>
      <c r="J974">
        <v>4104105912.8699999</v>
      </c>
      <c r="K974">
        <v>369000000</v>
      </c>
      <c r="L974" t="s">
        <v>18</v>
      </c>
      <c r="M974">
        <v>-15.3323866477552</v>
      </c>
      <c r="N974">
        <v>11.8254841720464</v>
      </c>
      <c r="O974" t="s">
        <v>18</v>
      </c>
      <c r="P974">
        <v>19.225300000000001</v>
      </c>
      <c r="Q974">
        <v>12.86425</v>
      </c>
      <c r="R974">
        <v>783718880</v>
      </c>
      <c r="S974" t="s">
        <v>18</v>
      </c>
      <c r="T974">
        <v>5207000000</v>
      </c>
    </row>
    <row r="975" spans="1:20" x14ac:dyDescent="0.2">
      <c r="A975" t="s">
        <v>140</v>
      </c>
      <c r="B975" t="s">
        <v>77</v>
      </c>
      <c r="C975">
        <v>2009</v>
      </c>
      <c r="D975">
        <v>11147000000</v>
      </c>
      <c r="E975">
        <v>4200552910</v>
      </c>
      <c r="F975">
        <v>3645000000</v>
      </c>
      <c r="G975">
        <v>87000000</v>
      </c>
      <c r="H975">
        <v>3874000000</v>
      </c>
      <c r="I975" t="s">
        <v>18</v>
      </c>
      <c r="J975">
        <v>4157365302.579</v>
      </c>
      <c r="K975">
        <v>345000000</v>
      </c>
      <c r="L975" t="s">
        <v>18</v>
      </c>
      <c r="M975">
        <v>16.089910818382499</v>
      </c>
      <c r="N975">
        <v>46.934797017558203</v>
      </c>
      <c r="O975" t="s">
        <v>18</v>
      </c>
      <c r="P975">
        <v>17.88645</v>
      </c>
      <c r="Q975">
        <v>11.83131</v>
      </c>
      <c r="R975">
        <v>672363440</v>
      </c>
      <c r="S975">
        <v>13.4559</v>
      </c>
      <c r="T975">
        <v>8367000000</v>
      </c>
    </row>
    <row r="976" spans="1:20" x14ac:dyDescent="0.2">
      <c r="A976" t="s">
        <v>140</v>
      </c>
      <c r="B976" t="s">
        <v>77</v>
      </c>
      <c r="C976">
        <v>2010</v>
      </c>
      <c r="D976">
        <v>12200000000</v>
      </c>
      <c r="E976">
        <v>4102271150</v>
      </c>
      <c r="F976">
        <v>4694000000</v>
      </c>
      <c r="G976">
        <v>25000000</v>
      </c>
      <c r="H976">
        <v>3690000000</v>
      </c>
      <c r="I976" t="s">
        <v>18</v>
      </c>
      <c r="J976">
        <v>3151702708.6620002</v>
      </c>
      <c r="K976">
        <v>88000000</v>
      </c>
      <c r="L976" t="s">
        <v>18</v>
      </c>
      <c r="M976">
        <v>18.940910163659801</v>
      </c>
      <c r="N976">
        <v>56.622264603754502</v>
      </c>
      <c r="O976" t="s">
        <v>18</v>
      </c>
      <c r="P976">
        <v>20.440660000000001</v>
      </c>
      <c r="Q976">
        <v>11.275690000000001</v>
      </c>
      <c r="R976">
        <v>556063460</v>
      </c>
      <c r="S976">
        <v>16.274799999999999</v>
      </c>
      <c r="T976">
        <v>9289000000</v>
      </c>
    </row>
    <row r="977" spans="1:20" x14ac:dyDescent="0.2">
      <c r="A977" t="s">
        <v>140</v>
      </c>
      <c r="B977" t="s">
        <v>77</v>
      </c>
      <c r="C977">
        <v>2011</v>
      </c>
      <c r="D977">
        <v>11931000000</v>
      </c>
      <c r="E977">
        <v>3855611000</v>
      </c>
      <c r="F977">
        <v>4184000000</v>
      </c>
      <c r="G977">
        <v>132000000</v>
      </c>
      <c r="H977">
        <v>3501000000</v>
      </c>
      <c r="I977" t="s">
        <v>18</v>
      </c>
      <c r="J977">
        <v>2399805442.1820002</v>
      </c>
      <c r="K977">
        <v>235000000</v>
      </c>
      <c r="L977" t="s">
        <v>18</v>
      </c>
      <c r="M977">
        <v>-41.1441594444195</v>
      </c>
      <c r="N977">
        <v>48.700771527980002</v>
      </c>
      <c r="O977" t="s">
        <v>18</v>
      </c>
      <c r="P977">
        <v>15.46102</v>
      </c>
      <c r="Q977">
        <v>8.3926499999999997</v>
      </c>
      <c r="R977">
        <v>468360910</v>
      </c>
      <c r="S977">
        <v>15.179600000000001</v>
      </c>
      <c r="T977">
        <v>9029000000</v>
      </c>
    </row>
    <row r="978" spans="1:20" x14ac:dyDescent="0.2">
      <c r="A978" t="s">
        <v>140</v>
      </c>
      <c r="B978" t="s">
        <v>77</v>
      </c>
      <c r="C978">
        <v>2012</v>
      </c>
      <c r="D978">
        <v>10855000000</v>
      </c>
      <c r="E978">
        <v>4641002400</v>
      </c>
      <c r="F978">
        <v>4526000000</v>
      </c>
      <c r="G978">
        <v>147000000</v>
      </c>
      <c r="H978">
        <v>2767000000</v>
      </c>
      <c r="I978" t="s">
        <v>18</v>
      </c>
      <c r="J978">
        <v>1313627182.6461</v>
      </c>
      <c r="K978">
        <v>-111000000</v>
      </c>
      <c r="L978" t="s">
        <v>18</v>
      </c>
      <c r="M978">
        <v>-11.0252852544892</v>
      </c>
      <c r="N978">
        <v>62.4069688830334</v>
      </c>
      <c r="O978" t="s">
        <v>18</v>
      </c>
      <c r="P978">
        <v>18.107669999999999</v>
      </c>
      <c r="Q978">
        <v>6.7862999999999998</v>
      </c>
      <c r="R978">
        <v>526096900</v>
      </c>
      <c r="S978">
        <v>15.236499999999999</v>
      </c>
      <c r="T978">
        <v>8119000000</v>
      </c>
    </row>
    <row r="979" spans="1:20" x14ac:dyDescent="0.2">
      <c r="A979" t="s">
        <v>140</v>
      </c>
      <c r="B979" t="s">
        <v>77</v>
      </c>
      <c r="C979">
        <v>2013</v>
      </c>
      <c r="D979">
        <v>11945000000</v>
      </c>
      <c r="E979">
        <v>3908154860</v>
      </c>
      <c r="F979">
        <v>5024000000</v>
      </c>
      <c r="G979">
        <v>553000000</v>
      </c>
      <c r="H979">
        <v>2846000000</v>
      </c>
      <c r="I979">
        <v>3.4077624143063598</v>
      </c>
      <c r="J979">
        <v>2641039148.5110002</v>
      </c>
      <c r="K979">
        <v>238000000</v>
      </c>
      <c r="L979" t="s">
        <v>18</v>
      </c>
      <c r="M979">
        <v>2.4477355763886002</v>
      </c>
      <c r="N979">
        <v>62.462471958799597</v>
      </c>
      <c r="O979" t="s">
        <v>18</v>
      </c>
      <c r="P979">
        <v>16.35802</v>
      </c>
      <c r="Q979">
        <v>7.6080199999999998</v>
      </c>
      <c r="R979">
        <v>546182570</v>
      </c>
      <c r="S979">
        <v>13.9506</v>
      </c>
      <c r="T979">
        <v>8721000000</v>
      </c>
    </row>
    <row r="980" spans="1:20" x14ac:dyDescent="0.2">
      <c r="A980" t="s">
        <v>140</v>
      </c>
      <c r="B980" t="s">
        <v>77</v>
      </c>
      <c r="C980">
        <v>2014</v>
      </c>
      <c r="D980">
        <v>11010000000</v>
      </c>
      <c r="E980">
        <v>3517916000</v>
      </c>
      <c r="F980">
        <v>4397000000</v>
      </c>
      <c r="G980">
        <v>376000000</v>
      </c>
      <c r="H980">
        <v>2791000000</v>
      </c>
      <c r="I980">
        <v>3.2721209159320699</v>
      </c>
      <c r="J980">
        <v>2609710095.7410002</v>
      </c>
      <c r="K980">
        <v>75000000</v>
      </c>
      <c r="L980">
        <v>2.04823305473702</v>
      </c>
      <c r="M980">
        <v>-9.3124916423594009</v>
      </c>
      <c r="N980">
        <v>58.813307959312098</v>
      </c>
      <c r="O980">
        <v>-1.4491478873239401</v>
      </c>
      <c r="P980">
        <v>25.01784</v>
      </c>
      <c r="Q980">
        <v>9.3861500000000007</v>
      </c>
      <c r="R980">
        <v>569739140</v>
      </c>
      <c r="S980">
        <v>15.453200000000001</v>
      </c>
      <c r="T980">
        <v>7745000000</v>
      </c>
    </row>
    <row r="981" spans="1:20" x14ac:dyDescent="0.2">
      <c r="A981" t="s">
        <v>140</v>
      </c>
      <c r="B981" t="s">
        <v>77</v>
      </c>
      <c r="C981">
        <v>2015</v>
      </c>
      <c r="D981">
        <v>10333000000</v>
      </c>
      <c r="E981">
        <v>3148577330</v>
      </c>
      <c r="F981">
        <v>4056000000</v>
      </c>
      <c r="G981">
        <v>544000000</v>
      </c>
      <c r="H981">
        <v>2579000000</v>
      </c>
      <c r="I981">
        <v>3.0160419407157102</v>
      </c>
      <c r="J981">
        <v>4166764018.4099998</v>
      </c>
      <c r="K981">
        <v>-18000000</v>
      </c>
      <c r="L981">
        <v>-1.8632970876159101</v>
      </c>
      <c r="M981">
        <v>-6.8607250104866004</v>
      </c>
      <c r="N981">
        <v>61.082073891990397</v>
      </c>
      <c r="O981">
        <v>0.67911726384364801</v>
      </c>
      <c r="P981">
        <v>19.321829999999999</v>
      </c>
      <c r="Q981">
        <v>10.373189999999999</v>
      </c>
      <c r="R981">
        <v>558888000</v>
      </c>
      <c r="S981">
        <v>16.934200000000001</v>
      </c>
      <c r="T981">
        <v>7235000000</v>
      </c>
    </row>
    <row r="982" spans="1:20" x14ac:dyDescent="0.2">
      <c r="A982" t="s">
        <v>140</v>
      </c>
      <c r="B982" t="s">
        <v>77</v>
      </c>
      <c r="C982">
        <v>2016</v>
      </c>
      <c r="D982">
        <v>9801000000</v>
      </c>
      <c r="E982">
        <v>3077963750</v>
      </c>
      <c r="F982">
        <v>3781000000</v>
      </c>
      <c r="G982">
        <v>636000000</v>
      </c>
      <c r="H982">
        <v>2646000000</v>
      </c>
      <c r="I982">
        <v>2.80414839602942</v>
      </c>
      <c r="J982">
        <v>3461860331.085</v>
      </c>
      <c r="K982">
        <v>-57000000</v>
      </c>
      <c r="L982">
        <v>4.2175301075968497</v>
      </c>
      <c r="M982">
        <v>0.53638358062397795</v>
      </c>
      <c r="N982">
        <v>59.459100037517103</v>
      </c>
      <c r="O982">
        <v>29.4202170087977</v>
      </c>
      <c r="P982">
        <v>19.650480000000002</v>
      </c>
      <c r="Q982">
        <v>11.62365</v>
      </c>
      <c r="R982">
        <v>621916880</v>
      </c>
      <c r="S982">
        <v>18.0459</v>
      </c>
      <c r="T982">
        <v>7040000000</v>
      </c>
    </row>
    <row r="983" spans="1:20" x14ac:dyDescent="0.2">
      <c r="A983" t="s">
        <v>140</v>
      </c>
      <c r="B983" t="s">
        <v>77</v>
      </c>
      <c r="C983">
        <v>2017</v>
      </c>
      <c r="D983">
        <v>10387000000</v>
      </c>
      <c r="E983">
        <v>3225237000</v>
      </c>
      <c r="F983">
        <v>3795000000</v>
      </c>
      <c r="G983">
        <v>402000000</v>
      </c>
      <c r="H983">
        <v>2726000000</v>
      </c>
      <c r="I983">
        <v>2.7924446653038402</v>
      </c>
      <c r="J983">
        <v>4884199326.8430004</v>
      </c>
      <c r="K983">
        <v>212000000</v>
      </c>
      <c r="L983">
        <v>-0.54166529736096203</v>
      </c>
      <c r="M983">
        <v>7.3306112688107401</v>
      </c>
      <c r="N983">
        <v>64.506837849632504</v>
      </c>
      <c r="O983">
        <v>93.847872586872597</v>
      </c>
      <c r="P983">
        <v>22.674900000000001</v>
      </c>
      <c r="Q983">
        <v>13.84774</v>
      </c>
      <c r="R983">
        <v>688480330</v>
      </c>
      <c r="S983">
        <v>22.266999999999999</v>
      </c>
      <c r="T983">
        <v>7074000000</v>
      </c>
    </row>
    <row r="984" spans="1:20" x14ac:dyDescent="0.2">
      <c r="A984" t="s">
        <v>140</v>
      </c>
      <c r="B984" t="s">
        <v>77</v>
      </c>
      <c r="C984">
        <v>2018</v>
      </c>
      <c r="D984">
        <v>9949000000</v>
      </c>
      <c r="E984">
        <v>3097755710</v>
      </c>
      <c r="F984">
        <v>3938000000</v>
      </c>
      <c r="G984">
        <v>691000000</v>
      </c>
      <c r="H984">
        <v>2878000000</v>
      </c>
      <c r="I984">
        <v>2.5380373732601398</v>
      </c>
      <c r="J984">
        <v>4655497241.6219997</v>
      </c>
      <c r="K984">
        <v>384000000</v>
      </c>
      <c r="L984">
        <v>5.1931465729938502</v>
      </c>
      <c r="M984">
        <v>4.7491892909399001</v>
      </c>
      <c r="N984">
        <v>73.057807314748899</v>
      </c>
      <c r="O984">
        <v>80.352526143790897</v>
      </c>
      <c r="P984">
        <v>19.78951</v>
      </c>
      <c r="Q984">
        <v>12.715669999999999</v>
      </c>
      <c r="R984">
        <v>744048000</v>
      </c>
      <c r="S984">
        <v>25.3553</v>
      </c>
      <c r="T984">
        <v>6951000000</v>
      </c>
    </row>
    <row r="985" spans="1:20" x14ac:dyDescent="0.2">
      <c r="A985" t="s">
        <v>140</v>
      </c>
      <c r="B985" t="s">
        <v>77</v>
      </c>
      <c r="C985">
        <v>2019</v>
      </c>
      <c r="D985">
        <v>10333000000</v>
      </c>
      <c r="E985">
        <v>3135442170</v>
      </c>
      <c r="F985">
        <v>3678000000</v>
      </c>
      <c r="G985">
        <v>624000000</v>
      </c>
      <c r="H985">
        <v>3135000000</v>
      </c>
      <c r="I985">
        <v>2.6040956469681502</v>
      </c>
      <c r="J985">
        <v>5349435760.4775</v>
      </c>
      <c r="K985">
        <v>333000000</v>
      </c>
      <c r="L985">
        <v>2.27130757688245</v>
      </c>
      <c r="M985">
        <v>11.97738799837</v>
      </c>
      <c r="N985">
        <v>66.835091535720807</v>
      </c>
      <c r="O985">
        <v>102.09215409836099</v>
      </c>
      <c r="P985">
        <v>18.49399</v>
      </c>
      <c r="Q985">
        <v>11.36434</v>
      </c>
      <c r="R985">
        <v>645321330</v>
      </c>
      <c r="S985">
        <v>27.258099999999999</v>
      </c>
      <c r="T985">
        <v>7201000000</v>
      </c>
    </row>
    <row r="986" spans="1:20" x14ac:dyDescent="0.2">
      <c r="A986" t="s">
        <v>140</v>
      </c>
      <c r="B986" t="s">
        <v>77</v>
      </c>
      <c r="C986">
        <v>2020</v>
      </c>
      <c r="D986">
        <v>10725000000</v>
      </c>
      <c r="E986">
        <v>3469700000</v>
      </c>
      <c r="F986">
        <v>3611000000</v>
      </c>
      <c r="G986">
        <v>434000000</v>
      </c>
      <c r="H986">
        <v>3289000000</v>
      </c>
      <c r="I986">
        <v>3.1335375007236301</v>
      </c>
      <c r="J986">
        <v>3959992270.1279998</v>
      </c>
      <c r="K986">
        <v>392000000</v>
      </c>
      <c r="L986">
        <v>2.0940533778518602</v>
      </c>
      <c r="M986">
        <v>15.352187054134699</v>
      </c>
      <c r="N986">
        <v>79.986173533263994</v>
      </c>
      <c r="O986">
        <v>80.588899999999995</v>
      </c>
      <c r="P986">
        <v>16.316220000000001</v>
      </c>
      <c r="Q986">
        <v>9.46204</v>
      </c>
      <c r="R986">
        <v>556666670</v>
      </c>
      <c r="S986">
        <v>23.3658</v>
      </c>
      <c r="T986">
        <v>7262000000</v>
      </c>
    </row>
    <row r="987" spans="1:20" x14ac:dyDescent="0.2">
      <c r="A987" t="s">
        <v>140</v>
      </c>
      <c r="B987" t="s">
        <v>77</v>
      </c>
      <c r="C987">
        <v>2021</v>
      </c>
      <c r="D987">
        <v>12226000000</v>
      </c>
      <c r="E987">
        <v>4135450000</v>
      </c>
      <c r="F987">
        <v>4497000000</v>
      </c>
      <c r="G987">
        <v>1012000000</v>
      </c>
      <c r="H987">
        <v>3537000000</v>
      </c>
      <c r="I987">
        <v>3.11786245674806</v>
      </c>
      <c r="J987">
        <v>5495115855.8579998</v>
      </c>
      <c r="K987">
        <v>374000000</v>
      </c>
      <c r="L987">
        <v>4.5255050224813704</v>
      </c>
      <c r="M987">
        <v>16.6971894495966</v>
      </c>
      <c r="N987">
        <v>81.045140131288505</v>
      </c>
      <c r="O987">
        <v>121.612893569845</v>
      </c>
      <c r="P987">
        <v>16.209109999999999</v>
      </c>
      <c r="Q987">
        <v>8.1045599999999993</v>
      </c>
      <c r="R987">
        <v>607633330</v>
      </c>
      <c r="S987">
        <v>22.102900000000002</v>
      </c>
      <c r="T987">
        <v>8613000000</v>
      </c>
    </row>
    <row r="988" spans="1:20" x14ac:dyDescent="0.2">
      <c r="A988" t="s">
        <v>140</v>
      </c>
      <c r="B988" t="s">
        <v>77</v>
      </c>
      <c r="C988">
        <v>2022</v>
      </c>
      <c r="D988">
        <v>18008000000</v>
      </c>
      <c r="E988">
        <v>4569937800</v>
      </c>
      <c r="F988">
        <v>5068000000</v>
      </c>
      <c r="G988">
        <v>964000000</v>
      </c>
      <c r="H988">
        <v>3760000000</v>
      </c>
      <c r="I988">
        <v>3.0138707059435901</v>
      </c>
      <c r="J988">
        <v>4043014259.9685001</v>
      </c>
      <c r="K988">
        <v>554000000</v>
      </c>
      <c r="L988">
        <v>-12.0626513154641</v>
      </c>
      <c r="M988">
        <v>22.7109717591158</v>
      </c>
      <c r="N988">
        <v>76.764899004134904</v>
      </c>
      <c r="O988">
        <v>117.161987394958</v>
      </c>
      <c r="P988">
        <v>11.52481</v>
      </c>
      <c r="Q988">
        <v>5.75807</v>
      </c>
      <c r="R988">
        <v>689577330</v>
      </c>
      <c r="S988">
        <v>17.9145</v>
      </c>
      <c r="T988">
        <v>9371000000</v>
      </c>
    </row>
    <row r="989" spans="1:20" x14ac:dyDescent="0.2">
      <c r="A989" t="s">
        <v>140</v>
      </c>
      <c r="B989" t="s">
        <v>77</v>
      </c>
      <c r="C989">
        <v>2023</v>
      </c>
      <c r="D989">
        <v>21367000000</v>
      </c>
      <c r="E989">
        <v>4778546200</v>
      </c>
      <c r="F989">
        <v>6889000000</v>
      </c>
      <c r="G989">
        <v>1959000000</v>
      </c>
      <c r="H989">
        <v>3899000000</v>
      </c>
      <c r="I989">
        <v>2.5476671297945699</v>
      </c>
      <c r="J989">
        <v>6160858227.2205</v>
      </c>
      <c r="K989">
        <v>407000000</v>
      </c>
      <c r="L989">
        <v>-2.1607992884570502</v>
      </c>
      <c r="M989">
        <v>22.256840047632</v>
      </c>
      <c r="N989">
        <v>76.519294668866806</v>
      </c>
      <c r="O989">
        <v>54.7897196261682</v>
      </c>
      <c r="P989">
        <v>5.9941300000000002</v>
      </c>
      <c r="Q989">
        <v>2.8675099999999998</v>
      </c>
      <c r="R989">
        <v>969100000</v>
      </c>
      <c r="S989">
        <v>10.889799999999999</v>
      </c>
      <c r="T989">
        <v>11356000000</v>
      </c>
    </row>
    <row r="990" spans="1:20" x14ac:dyDescent="0.2">
      <c r="A990" t="s">
        <v>140</v>
      </c>
      <c r="B990" t="s">
        <v>77</v>
      </c>
      <c r="C990">
        <v>2024</v>
      </c>
      <c r="D990">
        <v>18798000000</v>
      </c>
      <c r="E990">
        <v>5532742330</v>
      </c>
      <c r="F990">
        <v>6351000000</v>
      </c>
      <c r="G990">
        <v>1629000000</v>
      </c>
      <c r="H990">
        <v>4240000000</v>
      </c>
      <c r="I990">
        <v>2.4175396705217298</v>
      </c>
      <c r="J990">
        <v>6695018576.9490004</v>
      </c>
      <c r="K990">
        <v>680000000</v>
      </c>
      <c r="L990">
        <v>-6.6518344432419596</v>
      </c>
      <c r="M990">
        <v>22.441794484618999</v>
      </c>
      <c r="N990">
        <v>73.791663645050605</v>
      </c>
      <c r="O990">
        <v>61.0348468848997</v>
      </c>
      <c r="P990">
        <v>12.34585</v>
      </c>
      <c r="Q990">
        <v>6.9182800000000002</v>
      </c>
      <c r="R990">
        <v>1309107670</v>
      </c>
      <c r="S990">
        <v>13.269399999999999</v>
      </c>
      <c r="T990">
        <v>11153000000</v>
      </c>
    </row>
    <row r="991" spans="1:20" x14ac:dyDescent="0.2">
      <c r="A991" t="s">
        <v>140</v>
      </c>
      <c r="B991" t="s">
        <v>77</v>
      </c>
      <c r="C991">
        <v>2025</v>
      </c>
      <c r="D991">
        <v>19894000000</v>
      </c>
      <c r="E991">
        <v>5822271000</v>
      </c>
      <c r="F991">
        <v>7272000000</v>
      </c>
      <c r="G991">
        <v>1549000000</v>
      </c>
      <c r="H991">
        <v>5445000000</v>
      </c>
      <c r="I991">
        <v>2.5351997909939299</v>
      </c>
      <c r="J991">
        <v>7330998348.1800003</v>
      </c>
      <c r="K991">
        <v>892000000</v>
      </c>
      <c r="L991">
        <v>-2.5671884718482798</v>
      </c>
      <c r="M991">
        <v>19.249577789080998</v>
      </c>
      <c r="N991">
        <v>69.582662310683205</v>
      </c>
      <c r="O991">
        <v>41.198858230256903</v>
      </c>
      <c r="P991">
        <v>17.196860000000001</v>
      </c>
      <c r="Q991">
        <v>10.32123</v>
      </c>
      <c r="R991">
        <v>1185021860</v>
      </c>
      <c r="S991">
        <v>14.138199999999999</v>
      </c>
      <c r="T991">
        <v>13275000000</v>
      </c>
    </row>
    <row r="992" spans="1:20" x14ac:dyDescent="0.2">
      <c r="A992" t="s">
        <v>141</v>
      </c>
      <c r="B992" t="s">
        <v>78</v>
      </c>
      <c r="C992">
        <v>2004</v>
      </c>
      <c r="D992">
        <v>16496000000</v>
      </c>
      <c r="E992" t="s">
        <v>18</v>
      </c>
      <c r="F992">
        <v>4631000000</v>
      </c>
      <c r="G992">
        <v>494000000</v>
      </c>
      <c r="H992">
        <v>5213000000</v>
      </c>
      <c r="I992" t="s">
        <v>18</v>
      </c>
      <c r="J992">
        <v>110006446.78399999</v>
      </c>
      <c r="K992">
        <v>237000000</v>
      </c>
      <c r="L992" t="s">
        <v>18</v>
      </c>
      <c r="M992" t="s">
        <v>18</v>
      </c>
      <c r="N992" t="s">
        <v>18</v>
      </c>
      <c r="O992" t="s">
        <v>18</v>
      </c>
      <c r="P992">
        <v>24.903300000000002</v>
      </c>
      <c r="Q992">
        <v>12.377969999999999</v>
      </c>
      <c r="R992" t="s">
        <v>18</v>
      </c>
      <c r="S992" t="s">
        <v>18</v>
      </c>
      <c r="T992">
        <v>10644000000</v>
      </c>
    </row>
    <row r="993" spans="1:20" x14ac:dyDescent="0.2">
      <c r="A993" t="s">
        <v>141</v>
      </c>
      <c r="B993" t="s">
        <v>78</v>
      </c>
      <c r="C993">
        <v>2005</v>
      </c>
      <c r="D993">
        <v>16052000000</v>
      </c>
      <c r="E993" t="s">
        <v>18</v>
      </c>
      <c r="F993">
        <v>5451000000</v>
      </c>
      <c r="G993">
        <v>458000000</v>
      </c>
      <c r="H993">
        <v>5707000000</v>
      </c>
      <c r="I993" t="s">
        <v>18</v>
      </c>
      <c r="J993">
        <v>110006446.78399999</v>
      </c>
      <c r="K993">
        <v>422000000</v>
      </c>
      <c r="L993" t="s">
        <v>18</v>
      </c>
      <c r="M993" t="s">
        <v>18</v>
      </c>
      <c r="N993" t="s">
        <v>18</v>
      </c>
      <c r="O993" t="s">
        <v>18</v>
      </c>
      <c r="P993">
        <v>29.269590000000001</v>
      </c>
      <c r="Q993">
        <v>16.385290000000001</v>
      </c>
      <c r="R993" t="s">
        <v>18</v>
      </c>
      <c r="S993" t="s">
        <v>18</v>
      </c>
      <c r="T993">
        <v>11627000000</v>
      </c>
    </row>
    <row r="994" spans="1:20" x14ac:dyDescent="0.2">
      <c r="A994" t="s">
        <v>141</v>
      </c>
      <c r="B994" t="s">
        <v>78</v>
      </c>
      <c r="C994">
        <v>2006</v>
      </c>
      <c r="D994">
        <v>15892000000</v>
      </c>
      <c r="E994" t="s">
        <v>18</v>
      </c>
      <c r="F994">
        <v>5317000000</v>
      </c>
      <c r="G994">
        <v>361000000</v>
      </c>
      <c r="H994">
        <v>6272000000</v>
      </c>
      <c r="I994" t="s">
        <v>18</v>
      </c>
      <c r="J994">
        <v>110006446.78399999</v>
      </c>
      <c r="K994">
        <v>424000000</v>
      </c>
      <c r="L994" t="s">
        <v>18</v>
      </c>
      <c r="M994" t="s">
        <v>18</v>
      </c>
      <c r="N994">
        <v>41.204147851733801</v>
      </c>
      <c r="O994" t="s">
        <v>18</v>
      </c>
      <c r="P994">
        <v>19.429780000000001</v>
      </c>
      <c r="Q994">
        <v>9.6394599999999997</v>
      </c>
      <c r="R994" t="s">
        <v>18</v>
      </c>
      <c r="S994" t="s">
        <v>18</v>
      </c>
      <c r="T994">
        <v>11748000000</v>
      </c>
    </row>
    <row r="995" spans="1:20" x14ac:dyDescent="0.2">
      <c r="A995" t="s">
        <v>141</v>
      </c>
      <c r="B995" t="s">
        <v>78</v>
      </c>
      <c r="C995">
        <v>2007</v>
      </c>
      <c r="D995">
        <v>15657000000</v>
      </c>
      <c r="E995" t="s">
        <v>18</v>
      </c>
      <c r="F995">
        <v>4627000000</v>
      </c>
      <c r="G995">
        <v>298000000</v>
      </c>
      <c r="H995">
        <v>6743000000</v>
      </c>
      <c r="I995" t="s">
        <v>18</v>
      </c>
      <c r="J995">
        <v>110006446.78399999</v>
      </c>
      <c r="K995">
        <v>550000000</v>
      </c>
      <c r="L995" t="s">
        <v>18</v>
      </c>
      <c r="M995" t="s">
        <v>18</v>
      </c>
      <c r="N995">
        <v>41.897498987998702</v>
      </c>
      <c r="O995" t="s">
        <v>18</v>
      </c>
      <c r="P995">
        <v>17.76511</v>
      </c>
      <c r="Q995">
        <v>9.1676699999999993</v>
      </c>
      <c r="R995" t="s">
        <v>18</v>
      </c>
      <c r="S995" t="s">
        <v>18</v>
      </c>
      <c r="T995">
        <v>11517000000</v>
      </c>
    </row>
    <row r="996" spans="1:20" x14ac:dyDescent="0.2">
      <c r="A996" t="s">
        <v>141</v>
      </c>
      <c r="B996" t="s">
        <v>78</v>
      </c>
      <c r="C996">
        <v>2008</v>
      </c>
      <c r="D996">
        <v>14723000000</v>
      </c>
      <c r="E996" t="s">
        <v>18</v>
      </c>
      <c r="F996">
        <v>2911000000</v>
      </c>
      <c r="G996">
        <v>103000000</v>
      </c>
      <c r="H996">
        <v>8004000000</v>
      </c>
      <c r="I996" t="s">
        <v>18</v>
      </c>
      <c r="J996">
        <v>128840169.3</v>
      </c>
      <c r="K996">
        <v>517000000</v>
      </c>
      <c r="L996" t="s">
        <v>18</v>
      </c>
      <c r="M996" t="s">
        <v>18</v>
      </c>
      <c r="N996">
        <v>52.301680650583499</v>
      </c>
      <c r="O996" t="s">
        <v>18</v>
      </c>
      <c r="P996">
        <v>18.51042</v>
      </c>
      <c r="Q996">
        <v>10.348800000000001</v>
      </c>
      <c r="R996" t="s">
        <v>18</v>
      </c>
      <c r="S996" t="s">
        <v>18</v>
      </c>
      <c r="T996">
        <v>11062000000</v>
      </c>
    </row>
    <row r="997" spans="1:20" x14ac:dyDescent="0.2">
      <c r="A997" t="s">
        <v>141</v>
      </c>
      <c r="B997" t="s">
        <v>78</v>
      </c>
      <c r="C997">
        <v>2009</v>
      </c>
      <c r="D997">
        <v>15093000000</v>
      </c>
      <c r="E997" t="s">
        <v>18</v>
      </c>
      <c r="F997">
        <v>3207000000</v>
      </c>
      <c r="G997">
        <v>188000000</v>
      </c>
      <c r="H997">
        <v>7909000000</v>
      </c>
      <c r="I997" t="s">
        <v>18</v>
      </c>
      <c r="J997">
        <v>140010003.72</v>
      </c>
      <c r="K997">
        <v>351000000</v>
      </c>
      <c r="L997" t="s">
        <v>18</v>
      </c>
      <c r="M997">
        <v>8.9768797368928706</v>
      </c>
      <c r="N997">
        <v>62.455894831707802</v>
      </c>
      <c r="O997" t="s">
        <v>18</v>
      </c>
      <c r="P997">
        <v>16.19445</v>
      </c>
      <c r="Q997">
        <v>8.7842300000000009</v>
      </c>
      <c r="R997" t="s">
        <v>18</v>
      </c>
      <c r="S997" t="s">
        <v>18</v>
      </c>
      <c r="T997">
        <v>11280000000</v>
      </c>
    </row>
    <row r="998" spans="1:20" x14ac:dyDescent="0.2">
      <c r="A998" t="s">
        <v>141</v>
      </c>
      <c r="B998" t="s">
        <v>78</v>
      </c>
      <c r="C998">
        <v>2010</v>
      </c>
      <c r="D998">
        <v>16457000000</v>
      </c>
      <c r="E998" t="s">
        <v>18</v>
      </c>
      <c r="F998">
        <v>4715000000</v>
      </c>
      <c r="G998">
        <v>748000000</v>
      </c>
      <c r="H998">
        <v>8077000000</v>
      </c>
      <c r="I998" t="s">
        <v>18</v>
      </c>
      <c r="J998">
        <v>137245193.22</v>
      </c>
      <c r="K998">
        <v>251000000</v>
      </c>
      <c r="L998" t="s">
        <v>18</v>
      </c>
      <c r="M998">
        <v>17.503714252155198</v>
      </c>
      <c r="N998">
        <v>57.846691961721</v>
      </c>
      <c r="O998" t="s">
        <v>18</v>
      </c>
      <c r="P998">
        <v>16.276299999999999</v>
      </c>
      <c r="Q998">
        <v>7.9050099999999999</v>
      </c>
      <c r="R998" t="s">
        <v>18</v>
      </c>
      <c r="S998" t="s">
        <v>18</v>
      </c>
      <c r="T998">
        <v>12969000000</v>
      </c>
    </row>
    <row r="999" spans="1:20" x14ac:dyDescent="0.2">
      <c r="A999" t="s">
        <v>141</v>
      </c>
      <c r="B999" t="s">
        <v>78</v>
      </c>
      <c r="C999">
        <v>2011</v>
      </c>
      <c r="D999">
        <v>16513000000</v>
      </c>
      <c r="E999" t="s">
        <v>18</v>
      </c>
      <c r="F999">
        <v>4334000000</v>
      </c>
      <c r="G999">
        <v>472000000</v>
      </c>
      <c r="H999">
        <v>7939000000</v>
      </c>
      <c r="I999" t="s">
        <v>18</v>
      </c>
      <c r="J999">
        <v>88473936</v>
      </c>
      <c r="K999">
        <v>123000000</v>
      </c>
      <c r="L999" t="s">
        <v>18</v>
      </c>
      <c r="M999">
        <v>-4.6335604111134199</v>
      </c>
      <c r="N999">
        <v>51.697432757131899</v>
      </c>
      <c r="O999" t="s">
        <v>18</v>
      </c>
      <c r="P999">
        <v>17.7377</v>
      </c>
      <c r="Q999">
        <v>7.2786900000000001</v>
      </c>
      <c r="R999" t="s">
        <v>18</v>
      </c>
      <c r="S999" t="s">
        <v>18</v>
      </c>
      <c r="T999">
        <v>12471000000</v>
      </c>
    </row>
    <row r="1000" spans="1:20" x14ac:dyDescent="0.2">
      <c r="A1000" t="s">
        <v>141</v>
      </c>
      <c r="B1000" t="s">
        <v>78</v>
      </c>
      <c r="C1000">
        <v>2012</v>
      </c>
      <c r="D1000">
        <v>15837000000</v>
      </c>
      <c r="E1000" t="s">
        <v>18</v>
      </c>
      <c r="F1000">
        <v>4365000000</v>
      </c>
      <c r="G1000">
        <v>291000000</v>
      </c>
      <c r="H1000">
        <v>6988000000</v>
      </c>
      <c r="I1000" t="s">
        <v>18</v>
      </c>
      <c r="J1000">
        <v>86427976.230000004</v>
      </c>
      <c r="K1000">
        <v>-273000000</v>
      </c>
      <c r="L1000" t="s">
        <v>18</v>
      </c>
      <c r="M1000">
        <v>-0.74082234778244405</v>
      </c>
      <c r="N1000">
        <v>65.436919273321493</v>
      </c>
      <c r="O1000" t="s">
        <v>18</v>
      </c>
      <c r="P1000">
        <v>11.99367</v>
      </c>
      <c r="Q1000">
        <v>4.2175599999999998</v>
      </c>
      <c r="R1000" t="s">
        <v>18</v>
      </c>
      <c r="S1000" t="s">
        <v>18</v>
      </c>
      <c r="T1000">
        <v>11511000000</v>
      </c>
    </row>
    <row r="1001" spans="1:20" x14ac:dyDescent="0.2">
      <c r="A1001" t="s">
        <v>141</v>
      </c>
      <c r="B1001" t="s">
        <v>78</v>
      </c>
      <c r="C1001">
        <v>2013</v>
      </c>
      <c r="D1001">
        <v>14625000000</v>
      </c>
      <c r="E1001" t="s">
        <v>18</v>
      </c>
      <c r="F1001">
        <v>3430000000</v>
      </c>
      <c r="G1001">
        <v>735000000</v>
      </c>
      <c r="H1001">
        <v>7055000000</v>
      </c>
      <c r="I1001" t="s">
        <v>18</v>
      </c>
      <c r="J1001">
        <v>107731440.366</v>
      </c>
      <c r="K1001">
        <v>36000000</v>
      </c>
      <c r="L1001" t="s">
        <v>18</v>
      </c>
      <c r="M1001">
        <v>-1.4589586782903901</v>
      </c>
      <c r="N1001">
        <v>71.302008107254096</v>
      </c>
      <c r="O1001" t="s">
        <v>18</v>
      </c>
      <c r="P1001">
        <v>11.17862</v>
      </c>
      <c r="Q1001">
        <v>3.9537200000000001</v>
      </c>
      <c r="R1001" t="s">
        <v>18</v>
      </c>
      <c r="S1001" t="s">
        <v>18</v>
      </c>
      <c r="T1001">
        <v>10604000000</v>
      </c>
    </row>
    <row r="1002" spans="1:20" x14ac:dyDescent="0.2">
      <c r="A1002" t="s">
        <v>141</v>
      </c>
      <c r="B1002" t="s">
        <v>78</v>
      </c>
      <c r="C1002">
        <v>2014</v>
      </c>
      <c r="D1002">
        <v>14243000000</v>
      </c>
      <c r="E1002" t="s">
        <v>18</v>
      </c>
      <c r="F1002">
        <v>3110000000</v>
      </c>
      <c r="G1002">
        <v>492000000</v>
      </c>
      <c r="H1002">
        <v>7126000000</v>
      </c>
      <c r="I1002" t="s">
        <v>18</v>
      </c>
      <c r="J1002">
        <v>93631619.950000003</v>
      </c>
      <c r="K1002">
        <v>98000000</v>
      </c>
      <c r="L1002" t="s">
        <v>18</v>
      </c>
      <c r="M1002">
        <v>-16.398518000291201</v>
      </c>
      <c r="N1002">
        <v>69.4522021729763</v>
      </c>
      <c r="O1002" t="s">
        <v>18</v>
      </c>
      <c r="P1002">
        <v>9.6472700000000007</v>
      </c>
      <c r="Q1002">
        <v>4.4782200000000003</v>
      </c>
      <c r="R1002" t="s">
        <v>18</v>
      </c>
      <c r="S1002" t="s">
        <v>18</v>
      </c>
      <c r="T1002">
        <v>10349000000</v>
      </c>
    </row>
    <row r="1003" spans="1:20" x14ac:dyDescent="0.2">
      <c r="A1003" t="s">
        <v>141</v>
      </c>
      <c r="B1003" t="s">
        <v>78</v>
      </c>
      <c r="C1003">
        <v>2015</v>
      </c>
      <c r="D1003">
        <v>14934000000</v>
      </c>
      <c r="E1003" t="s">
        <v>18</v>
      </c>
      <c r="F1003">
        <v>2371000000</v>
      </c>
      <c r="G1003">
        <v>473000000</v>
      </c>
      <c r="H1003">
        <v>6627000000</v>
      </c>
      <c r="I1003" t="s">
        <v>18</v>
      </c>
      <c r="J1003">
        <v>84874309.613499999</v>
      </c>
      <c r="K1003">
        <v>55000000</v>
      </c>
      <c r="L1003" t="s">
        <v>18</v>
      </c>
      <c r="M1003">
        <v>-26.008282766192998</v>
      </c>
      <c r="N1003">
        <v>64.006022043135005</v>
      </c>
      <c r="O1003" t="s">
        <v>18</v>
      </c>
      <c r="P1003">
        <v>7.9918899999999997</v>
      </c>
      <c r="Q1003">
        <v>3.76471</v>
      </c>
      <c r="R1003" t="s">
        <v>18</v>
      </c>
      <c r="S1003" t="s">
        <v>18</v>
      </c>
      <c r="T1003">
        <v>9508000000</v>
      </c>
    </row>
    <row r="1004" spans="1:20" x14ac:dyDescent="0.2">
      <c r="A1004" t="s">
        <v>141</v>
      </c>
      <c r="B1004" t="s">
        <v>78</v>
      </c>
      <c r="C1004">
        <v>2016</v>
      </c>
      <c r="D1004">
        <v>12782000000</v>
      </c>
      <c r="E1004" t="s">
        <v>18</v>
      </c>
      <c r="F1004">
        <v>1573000000</v>
      </c>
      <c r="G1004">
        <v>279000000</v>
      </c>
      <c r="H1004">
        <v>5439000000</v>
      </c>
      <c r="I1004" t="s">
        <v>18</v>
      </c>
      <c r="J1004">
        <v>78430251.063999996</v>
      </c>
      <c r="K1004">
        <v>-959000000</v>
      </c>
      <c r="L1004" t="s">
        <v>18</v>
      </c>
      <c r="M1004">
        <v>0.77528662571246798</v>
      </c>
      <c r="N1004">
        <v>63.524015084806997</v>
      </c>
      <c r="O1004" t="s">
        <v>18</v>
      </c>
      <c r="P1004">
        <v>13.17953</v>
      </c>
      <c r="Q1004">
        <v>7.3455300000000001</v>
      </c>
      <c r="R1004" t="s">
        <v>18</v>
      </c>
      <c r="S1004" t="s">
        <v>18</v>
      </c>
      <c r="T1004">
        <v>7449000000</v>
      </c>
    </row>
    <row r="1005" spans="1:20" x14ac:dyDescent="0.2">
      <c r="A1005" t="s">
        <v>141</v>
      </c>
      <c r="B1005" t="s">
        <v>78</v>
      </c>
      <c r="C1005">
        <v>2017</v>
      </c>
      <c r="D1005">
        <v>11670000000</v>
      </c>
      <c r="E1005" t="s">
        <v>18</v>
      </c>
      <c r="F1005">
        <v>1290000000</v>
      </c>
      <c r="G1005">
        <v>206000000</v>
      </c>
      <c r="H1005">
        <v>5955000000</v>
      </c>
      <c r="I1005" t="s">
        <v>18</v>
      </c>
      <c r="J1005">
        <v>105968962.814</v>
      </c>
      <c r="K1005">
        <v>-372000000</v>
      </c>
      <c r="L1005" t="s">
        <v>18</v>
      </c>
      <c r="M1005">
        <v>-5.1659670055762703</v>
      </c>
      <c r="N1005">
        <v>66.307958823612395</v>
      </c>
      <c r="O1005" t="s">
        <v>18</v>
      </c>
      <c r="P1005">
        <v>16.83886</v>
      </c>
      <c r="Q1005">
        <v>12.5068</v>
      </c>
      <c r="R1005" t="s">
        <v>18</v>
      </c>
      <c r="S1005" t="s">
        <v>18</v>
      </c>
      <c r="T1005">
        <v>7555000000</v>
      </c>
    </row>
    <row r="1006" spans="1:20" x14ac:dyDescent="0.2">
      <c r="A1006" t="s">
        <v>141</v>
      </c>
      <c r="B1006" t="s">
        <v>78</v>
      </c>
      <c r="C1006">
        <v>2018</v>
      </c>
      <c r="D1006">
        <v>10320000000</v>
      </c>
      <c r="E1006" t="s">
        <v>18</v>
      </c>
      <c r="F1006">
        <v>382000000</v>
      </c>
      <c r="G1006">
        <v>260000000</v>
      </c>
      <c r="H1006">
        <v>5915000000</v>
      </c>
      <c r="I1006" t="s">
        <v>18</v>
      </c>
      <c r="J1006">
        <v>104426794.956</v>
      </c>
      <c r="K1006">
        <v>-163000000</v>
      </c>
      <c r="L1006" t="s">
        <v>18</v>
      </c>
      <c r="M1006">
        <v>-8.7298256207967995E-2</v>
      </c>
      <c r="N1006">
        <v>62.373924810981102</v>
      </c>
      <c r="O1006" t="s">
        <v>18</v>
      </c>
      <c r="P1006">
        <v>13.537520000000001</v>
      </c>
      <c r="Q1006">
        <v>6.0799300000000001</v>
      </c>
      <c r="R1006" t="s">
        <v>18</v>
      </c>
      <c r="S1006" t="s">
        <v>18</v>
      </c>
      <c r="T1006">
        <v>6585000000</v>
      </c>
    </row>
    <row r="1007" spans="1:20" x14ac:dyDescent="0.2">
      <c r="A1007" t="s">
        <v>141</v>
      </c>
      <c r="B1007" t="s">
        <v>78</v>
      </c>
      <c r="C1007">
        <v>2019</v>
      </c>
      <c r="D1007">
        <v>10585000000</v>
      </c>
      <c r="E1007" t="s">
        <v>18</v>
      </c>
      <c r="F1007">
        <v>571000000</v>
      </c>
      <c r="G1007">
        <v>149000000</v>
      </c>
      <c r="H1007">
        <v>5886000000</v>
      </c>
      <c r="I1007" t="s">
        <v>18</v>
      </c>
      <c r="J1007">
        <v>113618111.355</v>
      </c>
      <c r="K1007">
        <v>93000000</v>
      </c>
      <c r="L1007" t="s">
        <v>18</v>
      </c>
      <c r="M1007">
        <v>11.1911840419392</v>
      </c>
      <c r="N1007">
        <v>68.839864563492497</v>
      </c>
      <c r="O1007" t="s">
        <v>18</v>
      </c>
      <c r="P1007">
        <v>2.6237400000000002</v>
      </c>
      <c r="Q1007">
        <v>-0.43537999999999999</v>
      </c>
      <c r="R1007" t="s">
        <v>18</v>
      </c>
      <c r="S1007" t="s">
        <v>18</v>
      </c>
      <c r="T1007">
        <v>6712000000</v>
      </c>
    </row>
    <row r="1008" spans="1:20" x14ac:dyDescent="0.2">
      <c r="A1008" t="s">
        <v>141</v>
      </c>
      <c r="B1008" t="s">
        <v>78</v>
      </c>
      <c r="C1008">
        <v>2020</v>
      </c>
      <c r="D1008">
        <v>10809000000</v>
      </c>
      <c r="E1008" t="s">
        <v>18</v>
      </c>
      <c r="F1008">
        <v>957000000</v>
      </c>
      <c r="G1008">
        <v>283000000</v>
      </c>
      <c r="H1008">
        <v>5327000000</v>
      </c>
      <c r="I1008" t="s">
        <v>18</v>
      </c>
      <c r="J1008">
        <v>5333984665.632</v>
      </c>
      <c r="K1008">
        <v>141000000</v>
      </c>
      <c r="L1008" t="s">
        <v>18</v>
      </c>
      <c r="M1008">
        <v>-0.57505120720651204</v>
      </c>
      <c r="N1008">
        <v>60.285155555327101</v>
      </c>
      <c r="O1008" t="s">
        <v>18</v>
      </c>
      <c r="P1008">
        <v>4.3791200000000003</v>
      </c>
      <c r="Q1008">
        <v>-0.39034000000000002</v>
      </c>
      <c r="R1008" t="s">
        <v>18</v>
      </c>
      <c r="S1008" t="s">
        <v>18</v>
      </c>
      <c r="T1008">
        <v>6470000000</v>
      </c>
    </row>
    <row r="1009" spans="1:20" x14ac:dyDescent="0.2">
      <c r="A1009" t="s">
        <v>141</v>
      </c>
      <c r="B1009" t="s">
        <v>78</v>
      </c>
      <c r="C1009">
        <v>2021</v>
      </c>
      <c r="D1009">
        <v>9383000000</v>
      </c>
      <c r="E1009" t="s">
        <v>18</v>
      </c>
      <c r="F1009">
        <v>839000000</v>
      </c>
      <c r="G1009">
        <v>313000000</v>
      </c>
      <c r="H1009">
        <v>5349000000</v>
      </c>
      <c r="I1009" t="s">
        <v>18</v>
      </c>
      <c r="J1009">
        <v>6606883563.75</v>
      </c>
      <c r="K1009">
        <v>191000000</v>
      </c>
      <c r="L1009" t="s">
        <v>18</v>
      </c>
      <c r="M1009">
        <v>-1.4425373925135101</v>
      </c>
      <c r="N1009">
        <v>50.287102733593102</v>
      </c>
      <c r="O1009" t="s">
        <v>18</v>
      </c>
      <c r="P1009">
        <v>10</v>
      </c>
      <c r="Q1009">
        <v>4.49139</v>
      </c>
      <c r="R1009" t="s">
        <v>18</v>
      </c>
      <c r="S1009" t="s">
        <v>18</v>
      </c>
      <c r="T1009">
        <v>6319000000</v>
      </c>
    </row>
    <row r="1010" spans="1:20" x14ac:dyDescent="0.2">
      <c r="A1010" t="s">
        <v>141</v>
      </c>
      <c r="B1010" t="s">
        <v>78</v>
      </c>
      <c r="C1010">
        <v>2022</v>
      </c>
      <c r="D1010">
        <v>16708000000</v>
      </c>
      <c r="E1010" t="s">
        <v>18</v>
      </c>
      <c r="F1010">
        <v>996000000</v>
      </c>
      <c r="G1010">
        <v>910000000</v>
      </c>
      <c r="H1010">
        <v>5934000000</v>
      </c>
      <c r="I1010" t="s">
        <v>18</v>
      </c>
      <c r="J1010">
        <v>6725286495</v>
      </c>
      <c r="K1010">
        <v>431000000</v>
      </c>
      <c r="L1010" t="s">
        <v>18</v>
      </c>
      <c r="M1010">
        <v>7.8880482854317702</v>
      </c>
      <c r="N1010">
        <v>57.365224729299896</v>
      </c>
      <c r="O1010" t="s">
        <v>18</v>
      </c>
      <c r="P1010">
        <v>9.3449200000000001</v>
      </c>
      <c r="Q1010">
        <v>6.31229</v>
      </c>
      <c r="R1010" t="s">
        <v>18</v>
      </c>
      <c r="S1010" t="s">
        <v>18</v>
      </c>
      <c r="T1010">
        <v>7349000000</v>
      </c>
    </row>
    <row r="1011" spans="1:20" x14ac:dyDescent="0.2">
      <c r="A1011" t="s">
        <v>141</v>
      </c>
      <c r="B1011" t="s">
        <v>78</v>
      </c>
      <c r="C1011">
        <v>2023</v>
      </c>
      <c r="D1011">
        <v>17336000000</v>
      </c>
      <c r="E1011" t="s">
        <v>18</v>
      </c>
      <c r="F1011">
        <v>909000000</v>
      </c>
      <c r="G1011">
        <v>456000000</v>
      </c>
      <c r="H1011">
        <v>5659000000</v>
      </c>
      <c r="I1011" t="s">
        <v>18</v>
      </c>
      <c r="J1011">
        <v>6952620123</v>
      </c>
      <c r="K1011">
        <v>153000000</v>
      </c>
      <c r="L1011" t="s">
        <v>18</v>
      </c>
      <c r="M1011">
        <v>4.1488227833836202</v>
      </c>
      <c r="N1011">
        <v>63.637940187447199</v>
      </c>
      <c r="O1011" t="s">
        <v>18</v>
      </c>
      <c r="P1011">
        <v>7.5983999999999998</v>
      </c>
      <c r="Q1011">
        <v>6.3347499999999997</v>
      </c>
      <c r="R1011" t="s">
        <v>18</v>
      </c>
      <c r="S1011" t="s">
        <v>18</v>
      </c>
      <c r="T1011">
        <v>6957000000</v>
      </c>
    </row>
    <row r="1012" spans="1:20" x14ac:dyDescent="0.2">
      <c r="A1012" t="s">
        <v>141</v>
      </c>
      <c r="B1012" t="s">
        <v>78</v>
      </c>
      <c r="C1012">
        <v>2024</v>
      </c>
      <c r="D1012">
        <v>13627000000</v>
      </c>
      <c r="E1012" t="s">
        <v>18</v>
      </c>
      <c r="F1012">
        <v>1041000000</v>
      </c>
      <c r="G1012">
        <v>1234000000</v>
      </c>
      <c r="H1012">
        <v>6460000000</v>
      </c>
      <c r="I1012" t="s">
        <v>18</v>
      </c>
      <c r="J1012">
        <v>8596052808.75</v>
      </c>
      <c r="K1012">
        <v>582000000</v>
      </c>
      <c r="L1012" t="s">
        <v>18</v>
      </c>
      <c r="M1012">
        <v>2.3071627161674</v>
      </c>
      <c r="N1012">
        <v>62.075143184707201</v>
      </c>
      <c r="O1012" t="s">
        <v>18</v>
      </c>
      <c r="P1012">
        <v>23.258839999999999</v>
      </c>
      <c r="Q1012">
        <v>20.812539999999998</v>
      </c>
      <c r="R1012" t="s">
        <v>18</v>
      </c>
      <c r="S1012" t="s">
        <v>18</v>
      </c>
      <c r="T1012">
        <v>7936000000</v>
      </c>
    </row>
    <row r="1013" spans="1:20" x14ac:dyDescent="0.2">
      <c r="A1013" t="s">
        <v>141</v>
      </c>
      <c r="B1013" t="s">
        <v>78</v>
      </c>
      <c r="C1013">
        <v>2025</v>
      </c>
      <c r="D1013">
        <v>13260000000</v>
      </c>
      <c r="E1013" t="s">
        <v>18</v>
      </c>
      <c r="F1013">
        <v>1019000000</v>
      </c>
      <c r="G1013">
        <v>921000000</v>
      </c>
      <c r="H1013">
        <v>6467000000</v>
      </c>
      <c r="I1013" t="s">
        <v>18</v>
      </c>
      <c r="J1013">
        <v>11532445503.75</v>
      </c>
      <c r="K1013">
        <v>386000000</v>
      </c>
      <c r="L1013" t="s">
        <v>18</v>
      </c>
      <c r="M1013">
        <v>8.9802999013451394</v>
      </c>
      <c r="N1013">
        <v>64.630582399692898</v>
      </c>
      <c r="O1013" t="s">
        <v>18</v>
      </c>
      <c r="P1013">
        <v>15.519590000000001</v>
      </c>
      <c r="Q1013">
        <v>12.283099999999999</v>
      </c>
      <c r="R1013" t="s">
        <v>18</v>
      </c>
      <c r="S1013" t="s">
        <v>18</v>
      </c>
      <c r="T1013">
        <v>7882000000</v>
      </c>
    </row>
    <row r="1014" spans="1:20" x14ac:dyDescent="0.2">
      <c r="A1014" t="s">
        <v>142</v>
      </c>
      <c r="B1014" t="s">
        <v>80</v>
      </c>
      <c r="C1014">
        <v>2004</v>
      </c>
      <c r="D1014">
        <v>7516686000</v>
      </c>
      <c r="E1014">
        <v>1040680000</v>
      </c>
      <c r="F1014">
        <v>1411678000</v>
      </c>
      <c r="G1014">
        <v>297362000</v>
      </c>
      <c r="H1014">
        <v>2659192000</v>
      </c>
      <c r="I1014" t="s">
        <v>18</v>
      </c>
      <c r="J1014">
        <v>5588729922.7671499</v>
      </c>
      <c r="K1014">
        <v>393053000</v>
      </c>
      <c r="L1014" t="s">
        <v>18</v>
      </c>
      <c r="M1014">
        <v>11.4672921442238</v>
      </c>
      <c r="N1014">
        <v>66.631341425458899</v>
      </c>
      <c r="O1014" t="s">
        <v>18</v>
      </c>
      <c r="P1014">
        <v>14.103339999999999</v>
      </c>
      <c r="Q1014">
        <v>8.4193200000000008</v>
      </c>
      <c r="R1014">
        <v>867502200</v>
      </c>
      <c r="S1014" t="s">
        <v>18</v>
      </c>
      <c r="T1014">
        <v>4097014000</v>
      </c>
    </row>
    <row r="1015" spans="1:20" x14ac:dyDescent="0.2">
      <c r="A1015" t="s">
        <v>142</v>
      </c>
      <c r="B1015" t="s">
        <v>80</v>
      </c>
      <c r="C1015">
        <v>2005</v>
      </c>
      <c r="D1015">
        <v>13197046000</v>
      </c>
      <c r="E1015">
        <v>319464170</v>
      </c>
      <c r="F1015">
        <v>2160004000</v>
      </c>
      <c r="G1015">
        <v>1466532000</v>
      </c>
      <c r="H1015">
        <v>4267936000</v>
      </c>
      <c r="I1015" t="s">
        <v>18</v>
      </c>
      <c r="J1015">
        <v>14615999922.1901</v>
      </c>
      <c r="K1015">
        <v>690382000</v>
      </c>
      <c r="L1015" t="s">
        <v>18</v>
      </c>
      <c r="M1015">
        <v>-7.1791680948658003</v>
      </c>
      <c r="N1015">
        <v>68.640018809455995</v>
      </c>
      <c r="O1015" t="s">
        <v>18</v>
      </c>
      <c r="P1015">
        <v>14.8028</v>
      </c>
      <c r="Q1015">
        <v>9.9195100000000007</v>
      </c>
      <c r="R1015">
        <v>2393367600</v>
      </c>
      <c r="S1015" t="s">
        <v>18</v>
      </c>
      <c r="T1015">
        <v>7921794000</v>
      </c>
    </row>
    <row r="1016" spans="1:20" x14ac:dyDescent="0.2">
      <c r="A1016" t="s">
        <v>142</v>
      </c>
      <c r="B1016" t="s">
        <v>80</v>
      </c>
      <c r="C1016">
        <v>2006</v>
      </c>
      <c r="D1016">
        <v>15451338000</v>
      </c>
      <c r="E1016">
        <v>886659730</v>
      </c>
      <c r="F1016">
        <v>1826556000</v>
      </c>
      <c r="G1016">
        <v>1951262000</v>
      </c>
      <c r="H1016">
        <v>5916712000</v>
      </c>
      <c r="I1016" t="s">
        <v>18</v>
      </c>
      <c r="J1016">
        <v>12381000075.804899</v>
      </c>
      <c r="K1016">
        <v>1459882000</v>
      </c>
      <c r="L1016" t="s">
        <v>18</v>
      </c>
      <c r="M1016">
        <v>20.146491654198499</v>
      </c>
      <c r="N1016">
        <v>75.859262918968199</v>
      </c>
      <c r="O1016" t="s">
        <v>18</v>
      </c>
      <c r="P1016">
        <v>17.666260000000001</v>
      </c>
      <c r="Q1016">
        <v>12.569990000000001</v>
      </c>
      <c r="R1016">
        <v>2253235560</v>
      </c>
      <c r="S1016" t="s">
        <v>18</v>
      </c>
      <c r="T1016">
        <v>9545196000</v>
      </c>
    </row>
    <row r="1017" spans="1:20" x14ac:dyDescent="0.2">
      <c r="A1017" t="s">
        <v>142</v>
      </c>
      <c r="B1017" t="s">
        <v>80</v>
      </c>
      <c r="C1017">
        <v>2007</v>
      </c>
      <c r="D1017">
        <v>17804018000</v>
      </c>
      <c r="E1017">
        <v>1662981860</v>
      </c>
      <c r="F1017">
        <v>2293632000</v>
      </c>
      <c r="G1017">
        <v>1564259000</v>
      </c>
      <c r="H1017">
        <v>7266370000</v>
      </c>
      <c r="I1017" t="s">
        <v>18</v>
      </c>
      <c r="J1017">
        <v>14565000133.5802</v>
      </c>
      <c r="K1017">
        <v>1649943000</v>
      </c>
      <c r="L1017" t="s">
        <v>18</v>
      </c>
      <c r="M1017">
        <v>26.5668010978182</v>
      </c>
      <c r="N1017">
        <v>65.362664042210298</v>
      </c>
      <c r="O1017" t="s">
        <v>18</v>
      </c>
      <c r="P1017">
        <v>15.13189</v>
      </c>
      <c r="Q1017">
        <v>10.86443</v>
      </c>
      <c r="R1017">
        <v>2226019310</v>
      </c>
      <c r="S1017" t="s">
        <v>18</v>
      </c>
      <c r="T1017">
        <v>11757211000</v>
      </c>
    </row>
    <row r="1018" spans="1:20" x14ac:dyDescent="0.2">
      <c r="A1018" t="s">
        <v>142</v>
      </c>
      <c r="B1018" t="s">
        <v>80</v>
      </c>
      <c r="C1018">
        <v>2008</v>
      </c>
      <c r="D1018">
        <v>21249512000</v>
      </c>
      <c r="E1018">
        <v>3069960080</v>
      </c>
      <c r="F1018">
        <v>3430623000</v>
      </c>
      <c r="G1018">
        <v>699564000</v>
      </c>
      <c r="H1018">
        <v>8446506000</v>
      </c>
      <c r="I1018" t="s">
        <v>18</v>
      </c>
      <c r="J1018">
        <v>5759999993.1310101</v>
      </c>
      <c r="K1018">
        <v>1842796000</v>
      </c>
      <c r="L1018" t="s">
        <v>18</v>
      </c>
      <c r="M1018">
        <v>30.554183110298698</v>
      </c>
      <c r="N1018">
        <v>64.691081626595306</v>
      </c>
      <c r="O1018" t="s">
        <v>18</v>
      </c>
      <c r="P1018">
        <v>15.54711</v>
      </c>
      <c r="Q1018">
        <v>10.67008</v>
      </c>
      <c r="R1018">
        <v>3216153000</v>
      </c>
      <c r="S1018" t="s">
        <v>18</v>
      </c>
      <c r="T1018">
        <v>14077962000</v>
      </c>
    </row>
    <row r="1019" spans="1:20" x14ac:dyDescent="0.2">
      <c r="A1019" t="s">
        <v>142</v>
      </c>
      <c r="B1019" t="s">
        <v>80</v>
      </c>
      <c r="C1019">
        <v>2009</v>
      </c>
      <c r="D1019">
        <v>21375983000</v>
      </c>
      <c r="E1019">
        <v>2576610950</v>
      </c>
      <c r="F1019">
        <v>4134374000</v>
      </c>
      <c r="G1019">
        <v>700086000</v>
      </c>
      <c r="H1019">
        <v>7762248000</v>
      </c>
      <c r="I1019" t="s">
        <v>18</v>
      </c>
      <c r="J1019">
        <v>8675999929.2737904</v>
      </c>
      <c r="K1019">
        <v>1528950000</v>
      </c>
      <c r="L1019" t="s">
        <v>18</v>
      </c>
      <c r="M1019">
        <v>36.124372456748198</v>
      </c>
      <c r="N1019">
        <v>64.992085799534493</v>
      </c>
      <c r="O1019" t="s">
        <v>18</v>
      </c>
      <c r="P1019">
        <v>15.2997</v>
      </c>
      <c r="Q1019">
        <v>10.237270000000001</v>
      </c>
      <c r="R1019">
        <v>1560696000</v>
      </c>
      <c r="S1019">
        <v>0</v>
      </c>
      <c r="T1019">
        <v>13860790000</v>
      </c>
    </row>
    <row r="1020" spans="1:20" x14ac:dyDescent="0.2">
      <c r="A1020" t="s">
        <v>142</v>
      </c>
      <c r="B1020" t="s">
        <v>80</v>
      </c>
      <c r="C1020">
        <v>2010</v>
      </c>
      <c r="D1020">
        <v>21415213000</v>
      </c>
      <c r="E1020">
        <v>3400325040</v>
      </c>
      <c r="F1020">
        <v>3988664000</v>
      </c>
      <c r="G1020">
        <v>674540000</v>
      </c>
      <c r="H1020">
        <v>8393415000</v>
      </c>
      <c r="I1020" t="s">
        <v>18</v>
      </c>
      <c r="J1020">
        <v>8002499914.9820204</v>
      </c>
      <c r="K1020">
        <v>716931000</v>
      </c>
      <c r="L1020" t="s">
        <v>18</v>
      </c>
      <c r="M1020">
        <v>30.156578063775299</v>
      </c>
      <c r="N1020">
        <v>74.417961560718993</v>
      </c>
      <c r="O1020" t="s">
        <v>18</v>
      </c>
      <c r="P1020">
        <v>15.05799</v>
      </c>
      <c r="Q1020">
        <v>7.6623799999999997</v>
      </c>
      <c r="R1020">
        <v>2450734000</v>
      </c>
      <c r="S1020">
        <v>0</v>
      </c>
      <c r="T1020">
        <v>14318547000</v>
      </c>
    </row>
    <row r="1021" spans="1:20" x14ac:dyDescent="0.2">
      <c r="A1021" t="s">
        <v>142</v>
      </c>
      <c r="B1021" t="s">
        <v>80</v>
      </c>
      <c r="C1021">
        <v>2011</v>
      </c>
      <c r="D1021">
        <v>26418932000</v>
      </c>
      <c r="E1021">
        <v>4673060770</v>
      </c>
      <c r="F1021">
        <v>5973312000</v>
      </c>
      <c r="G1021">
        <v>946132000</v>
      </c>
      <c r="H1021">
        <v>9003954000</v>
      </c>
      <c r="I1021" t="s">
        <v>18</v>
      </c>
      <c r="J1021">
        <v>7766181811.71</v>
      </c>
      <c r="K1021">
        <v>1214119000</v>
      </c>
      <c r="L1021" t="s">
        <v>18</v>
      </c>
      <c r="M1021">
        <v>11.454102433229901</v>
      </c>
      <c r="N1021">
        <v>75.496976526748</v>
      </c>
      <c r="O1021" t="s">
        <v>18</v>
      </c>
      <c r="P1021">
        <v>17.147310000000001</v>
      </c>
      <c r="Q1021">
        <v>10.383150000000001</v>
      </c>
      <c r="R1021">
        <v>2567025720</v>
      </c>
      <c r="S1021">
        <v>0</v>
      </c>
      <c r="T1021">
        <v>17211134000</v>
      </c>
    </row>
    <row r="1022" spans="1:20" x14ac:dyDescent="0.2">
      <c r="A1022" t="s">
        <v>142</v>
      </c>
      <c r="B1022" t="s">
        <v>80</v>
      </c>
      <c r="C1022">
        <v>2012</v>
      </c>
      <c r="D1022">
        <v>28413471000</v>
      </c>
      <c r="E1022">
        <v>4073948290</v>
      </c>
      <c r="F1022">
        <v>4961916000</v>
      </c>
      <c r="G1022">
        <v>358828000</v>
      </c>
      <c r="H1022">
        <v>10153547000</v>
      </c>
      <c r="I1022" t="s">
        <v>18</v>
      </c>
      <c r="J1022">
        <v>8993454537.9599991</v>
      </c>
      <c r="K1022">
        <v>1587898000</v>
      </c>
      <c r="L1022" t="s">
        <v>18</v>
      </c>
      <c r="M1022">
        <v>12.334786341301999</v>
      </c>
      <c r="N1022">
        <v>80.026027813040997</v>
      </c>
      <c r="O1022" t="s">
        <v>18</v>
      </c>
      <c r="P1022">
        <v>13.23015</v>
      </c>
      <c r="Q1022">
        <v>8.4554500000000008</v>
      </c>
      <c r="R1022">
        <v>3153073700</v>
      </c>
      <c r="S1022">
        <v>0</v>
      </c>
      <c r="T1022">
        <v>18365816000</v>
      </c>
    </row>
    <row r="1023" spans="1:20" x14ac:dyDescent="0.2">
      <c r="A1023" t="s">
        <v>142</v>
      </c>
      <c r="B1023" t="s">
        <v>80</v>
      </c>
      <c r="C1023">
        <v>2013</v>
      </c>
      <c r="D1023">
        <v>30519170000</v>
      </c>
      <c r="E1023">
        <v>3507550270</v>
      </c>
      <c r="F1023">
        <v>4974035000</v>
      </c>
      <c r="G1023">
        <v>1227298000</v>
      </c>
      <c r="H1023">
        <v>11161670000</v>
      </c>
      <c r="I1023" t="s">
        <v>18</v>
      </c>
      <c r="J1023">
        <v>11798181808.35</v>
      </c>
      <c r="K1023">
        <v>1790464000</v>
      </c>
      <c r="L1023" t="s">
        <v>18</v>
      </c>
      <c r="M1023">
        <v>1.40147187508135</v>
      </c>
      <c r="N1023">
        <v>76.409233566593301</v>
      </c>
      <c r="O1023" t="s">
        <v>18</v>
      </c>
      <c r="P1023">
        <v>12.93146</v>
      </c>
      <c r="Q1023">
        <v>8.15808</v>
      </c>
      <c r="R1023">
        <v>3114540210</v>
      </c>
      <c r="S1023">
        <v>0</v>
      </c>
      <c r="T1023">
        <v>19504009000</v>
      </c>
    </row>
    <row r="1024" spans="1:20" x14ac:dyDescent="0.2">
      <c r="A1024" t="s">
        <v>142</v>
      </c>
      <c r="B1024" t="s">
        <v>80</v>
      </c>
      <c r="C1024">
        <v>2014</v>
      </c>
      <c r="D1024">
        <v>31848000000</v>
      </c>
      <c r="E1024">
        <v>4959047530</v>
      </c>
      <c r="F1024">
        <v>5076000000</v>
      </c>
      <c r="G1024">
        <v>705000000</v>
      </c>
      <c r="H1024">
        <v>10873000000</v>
      </c>
      <c r="I1024">
        <v>1.17174166405333</v>
      </c>
      <c r="J1024">
        <v>7484727266.4899998</v>
      </c>
      <c r="K1024">
        <v>1729000000</v>
      </c>
      <c r="L1024">
        <v>-2.9313952494859001</v>
      </c>
      <c r="M1024">
        <v>8.1003753760613009</v>
      </c>
      <c r="N1024">
        <v>81.339183208464107</v>
      </c>
      <c r="O1024">
        <v>-29.261404707233101</v>
      </c>
      <c r="P1024">
        <v>10.44938</v>
      </c>
      <c r="Q1024">
        <v>6.5638699999999996</v>
      </c>
      <c r="R1024">
        <v>2248559740</v>
      </c>
      <c r="S1024">
        <v>0</v>
      </c>
      <c r="T1024">
        <v>19621000000</v>
      </c>
    </row>
    <row r="1025" spans="1:20" x14ac:dyDescent="0.2">
      <c r="A1025" t="s">
        <v>142</v>
      </c>
      <c r="B1025" t="s">
        <v>80</v>
      </c>
      <c r="C1025">
        <v>2015</v>
      </c>
      <c r="D1025">
        <v>33855000000</v>
      </c>
      <c r="E1025">
        <v>5272746200</v>
      </c>
      <c r="F1025">
        <v>5539000000</v>
      </c>
      <c r="G1025">
        <v>649000000</v>
      </c>
      <c r="H1025">
        <v>10849000000</v>
      </c>
      <c r="I1025">
        <v>1.40796972497925</v>
      </c>
      <c r="J1025">
        <v>8909999992.5750008</v>
      </c>
      <c r="K1025">
        <v>527000000</v>
      </c>
      <c r="L1025">
        <v>-0.23347273621724399</v>
      </c>
      <c r="M1025">
        <v>11.6840237985976</v>
      </c>
      <c r="N1025">
        <v>80.764946710142297</v>
      </c>
      <c r="O1025">
        <v>-26.217533663883099</v>
      </c>
      <c r="P1025">
        <v>11.73391</v>
      </c>
      <c r="Q1025">
        <v>6.2707100000000002</v>
      </c>
      <c r="R1025">
        <v>1264649130</v>
      </c>
      <c r="S1025">
        <v>0</v>
      </c>
      <c r="T1025">
        <v>20053000000</v>
      </c>
    </row>
    <row r="1026" spans="1:20" x14ac:dyDescent="0.2">
      <c r="A1026" t="s">
        <v>142</v>
      </c>
      <c r="B1026" t="s">
        <v>80</v>
      </c>
      <c r="C1026">
        <v>2016</v>
      </c>
      <c r="D1026">
        <v>32664000000</v>
      </c>
      <c r="E1026">
        <v>3605825600</v>
      </c>
      <c r="F1026">
        <v>5377000000</v>
      </c>
      <c r="G1026">
        <v>1348000000</v>
      </c>
      <c r="H1026">
        <v>9441000000</v>
      </c>
      <c r="I1026">
        <v>0.83942339229823304</v>
      </c>
      <c r="J1026">
        <v>10006363628.025</v>
      </c>
      <c r="K1026">
        <v>-1255000000</v>
      </c>
      <c r="L1026">
        <v>16.8947327178245</v>
      </c>
      <c r="M1026">
        <v>7.3631466214572097</v>
      </c>
      <c r="N1026">
        <v>75.682951410408194</v>
      </c>
      <c r="O1026">
        <v>-28.771031058143699</v>
      </c>
      <c r="P1026">
        <v>14.10308</v>
      </c>
      <c r="Q1026">
        <v>4.5722899999999997</v>
      </c>
      <c r="R1026">
        <v>856568000</v>
      </c>
      <c r="S1026">
        <v>0</v>
      </c>
      <c r="T1026">
        <v>19675000000</v>
      </c>
    </row>
    <row r="1027" spans="1:20" x14ac:dyDescent="0.2">
      <c r="A1027" t="s">
        <v>142</v>
      </c>
      <c r="B1027" t="s">
        <v>80</v>
      </c>
      <c r="C1027">
        <v>2017</v>
      </c>
      <c r="D1027">
        <v>32112000000</v>
      </c>
      <c r="E1027">
        <v>1519453310</v>
      </c>
      <c r="F1027">
        <v>5276000000</v>
      </c>
      <c r="G1027">
        <v>2069000000</v>
      </c>
      <c r="H1027">
        <v>8684000000</v>
      </c>
      <c r="I1027">
        <v>0.40318328656491398</v>
      </c>
      <c r="J1027">
        <v>17116363622.1</v>
      </c>
      <c r="K1027">
        <v>-183000000</v>
      </c>
      <c r="L1027">
        <v>0.20090564231638999</v>
      </c>
      <c r="M1027">
        <v>-3.86340352191027</v>
      </c>
      <c r="N1027">
        <v>76.475468898188197</v>
      </c>
      <c r="O1027">
        <v>-16.655567260138501</v>
      </c>
      <c r="P1027">
        <v>16.588789999999999</v>
      </c>
      <c r="Q1027">
        <v>5.9034300000000002</v>
      </c>
      <c r="R1027">
        <v>2570224200</v>
      </c>
      <c r="S1027">
        <v>0</v>
      </c>
      <c r="T1027">
        <v>19201000000</v>
      </c>
    </row>
    <row r="1028" spans="1:20" x14ac:dyDescent="0.2">
      <c r="A1028" t="s">
        <v>142</v>
      </c>
      <c r="B1028" t="s">
        <v>80</v>
      </c>
      <c r="C1028">
        <v>2018</v>
      </c>
      <c r="D1028">
        <v>31576000000</v>
      </c>
      <c r="E1028">
        <v>2550981080</v>
      </c>
      <c r="F1028">
        <v>5986000000</v>
      </c>
      <c r="G1028">
        <v>3972000000</v>
      </c>
      <c r="H1028">
        <v>8985000000</v>
      </c>
      <c r="I1028">
        <v>0.49543818444419002</v>
      </c>
      <c r="J1028">
        <v>14602909078.74</v>
      </c>
      <c r="K1028">
        <v>852000000</v>
      </c>
      <c r="L1028">
        <v>5.4659244938248097</v>
      </c>
      <c r="M1028">
        <v>-8.5886155424991895</v>
      </c>
      <c r="N1028">
        <v>79.642761476646996</v>
      </c>
      <c r="O1028">
        <v>-40.328289099526103</v>
      </c>
      <c r="P1028">
        <v>27.405799999999999</v>
      </c>
      <c r="Q1028">
        <v>18.69746</v>
      </c>
      <c r="R1028">
        <v>3463869600</v>
      </c>
      <c r="S1028">
        <v>0</v>
      </c>
      <c r="T1028">
        <v>20320000000</v>
      </c>
    </row>
    <row r="1029" spans="1:20" x14ac:dyDescent="0.2">
      <c r="A1029" t="s">
        <v>142</v>
      </c>
      <c r="B1029" t="s">
        <v>80</v>
      </c>
      <c r="C1029">
        <v>2019</v>
      </c>
      <c r="D1029">
        <v>36961000000</v>
      </c>
      <c r="E1029">
        <v>4574198400</v>
      </c>
      <c r="F1029">
        <v>6041000000</v>
      </c>
      <c r="G1029">
        <v>4026000000</v>
      </c>
      <c r="H1029">
        <v>9919000000</v>
      </c>
      <c r="I1029">
        <v>0.79182324849510399</v>
      </c>
      <c r="J1029">
        <v>16933090894.98</v>
      </c>
      <c r="K1029">
        <v>1993000000</v>
      </c>
      <c r="L1029">
        <v>-0.320585538336917</v>
      </c>
      <c r="M1029">
        <v>-7.7061985423378196</v>
      </c>
      <c r="N1029">
        <v>77.599248586254006</v>
      </c>
      <c r="O1029">
        <v>-36.584359357997798</v>
      </c>
      <c r="P1029">
        <v>23.371130000000001</v>
      </c>
      <c r="Q1029">
        <v>15.87876</v>
      </c>
      <c r="R1029">
        <v>3733050360</v>
      </c>
      <c r="S1029">
        <v>0</v>
      </c>
      <c r="T1029">
        <v>21383000000</v>
      </c>
    </row>
    <row r="1030" spans="1:20" x14ac:dyDescent="0.2">
      <c r="A1030" t="s">
        <v>142</v>
      </c>
      <c r="B1030" t="s">
        <v>80</v>
      </c>
      <c r="C1030">
        <v>2020</v>
      </c>
      <c r="D1030">
        <v>40375000000</v>
      </c>
      <c r="E1030">
        <v>8325004700</v>
      </c>
      <c r="F1030">
        <v>7624000000</v>
      </c>
      <c r="G1030">
        <v>2931000000</v>
      </c>
      <c r="H1030">
        <v>11025000000</v>
      </c>
      <c r="I1030">
        <v>2.2443756703365199</v>
      </c>
      <c r="J1030">
        <v>9562909082.9400005</v>
      </c>
      <c r="K1030">
        <v>2147000000</v>
      </c>
      <c r="L1030">
        <v>21.468518205996801</v>
      </c>
      <c r="M1030">
        <v>-10.8585146556333</v>
      </c>
      <c r="N1030">
        <v>77.020307419963999</v>
      </c>
      <c r="O1030">
        <v>-0.73149443929564395</v>
      </c>
      <c r="P1030">
        <v>24.598269999999999</v>
      </c>
      <c r="Q1030">
        <v>14.811820000000001</v>
      </c>
      <c r="R1030">
        <v>1515890090</v>
      </c>
      <c r="S1030">
        <v>0</v>
      </c>
      <c r="T1030">
        <v>24487000000</v>
      </c>
    </row>
    <row r="1031" spans="1:20" x14ac:dyDescent="0.2">
      <c r="A1031" t="s">
        <v>142</v>
      </c>
      <c r="B1031" t="s">
        <v>80</v>
      </c>
      <c r="C1031">
        <v>2021</v>
      </c>
      <c r="D1031">
        <v>49271000000</v>
      </c>
      <c r="E1031">
        <v>6683220930</v>
      </c>
      <c r="F1031">
        <v>11936000000</v>
      </c>
      <c r="G1031">
        <v>2854000000</v>
      </c>
      <c r="H1031">
        <v>10512000000</v>
      </c>
      <c r="I1031">
        <v>0.85482952314433902</v>
      </c>
      <c r="J1031">
        <v>15718909077.809999</v>
      </c>
      <c r="K1031">
        <v>1478000000</v>
      </c>
      <c r="L1031">
        <v>-2.57239432984428</v>
      </c>
      <c r="M1031">
        <v>-8.0257456573067305</v>
      </c>
      <c r="N1031">
        <v>77.930592527809097</v>
      </c>
      <c r="O1031">
        <v>30.697015816326498</v>
      </c>
      <c r="P1031">
        <v>26.277950000000001</v>
      </c>
      <c r="Q1031">
        <v>13.607250000000001</v>
      </c>
      <c r="R1031">
        <v>5521064530</v>
      </c>
      <c r="S1031">
        <v>0</v>
      </c>
      <c r="T1031">
        <v>31835000000</v>
      </c>
    </row>
    <row r="1032" spans="1:20" x14ac:dyDescent="0.2">
      <c r="A1032" t="s">
        <v>142</v>
      </c>
      <c r="B1032" t="s">
        <v>80</v>
      </c>
      <c r="C1032">
        <v>2022</v>
      </c>
      <c r="D1032">
        <v>53798000000</v>
      </c>
      <c r="E1032">
        <v>2322807710</v>
      </c>
      <c r="F1032">
        <v>10853000000</v>
      </c>
      <c r="G1032">
        <v>5050000000</v>
      </c>
      <c r="H1032">
        <v>13022000000</v>
      </c>
      <c r="I1032">
        <v>0.158050005512827</v>
      </c>
      <c r="J1032">
        <v>16010181804.84</v>
      </c>
      <c r="K1032">
        <v>2804000000</v>
      </c>
      <c r="L1032">
        <v>-34.949276578182698</v>
      </c>
      <c r="M1032">
        <v>4.31036815654475</v>
      </c>
      <c r="N1032">
        <v>81.549228364367295</v>
      </c>
      <c r="O1032">
        <v>19.966655987184598</v>
      </c>
      <c r="P1032">
        <v>27.163550000000001</v>
      </c>
      <c r="Q1032">
        <v>19.977499999999999</v>
      </c>
      <c r="R1032">
        <v>12031051350</v>
      </c>
      <c r="S1032">
        <v>0</v>
      </c>
      <c r="T1032">
        <v>32849000000</v>
      </c>
    </row>
    <row r="1033" spans="1:20" x14ac:dyDescent="0.2">
      <c r="A1033" t="s">
        <v>142</v>
      </c>
      <c r="B1033" t="s">
        <v>80</v>
      </c>
      <c r="C1033">
        <v>2023</v>
      </c>
      <c r="D1033">
        <v>56863000000</v>
      </c>
      <c r="E1033">
        <v>2144779600</v>
      </c>
      <c r="F1033">
        <v>10284000000</v>
      </c>
      <c r="G1033">
        <v>8090000000</v>
      </c>
      <c r="H1033">
        <v>16667000000</v>
      </c>
      <c r="I1033">
        <v>0.26467436077152801</v>
      </c>
      <c r="J1033">
        <v>12894545443.799999</v>
      </c>
      <c r="K1033">
        <v>5175000000</v>
      </c>
      <c r="L1033">
        <v>2.1732495513889099</v>
      </c>
      <c r="M1033">
        <v>13.1611665455729</v>
      </c>
      <c r="N1033">
        <v>84.650711482520094</v>
      </c>
      <c r="O1033">
        <v>26.032112470268402</v>
      </c>
      <c r="P1033">
        <v>22.918869999999998</v>
      </c>
      <c r="Q1033">
        <v>18.936399999999999</v>
      </c>
      <c r="R1033">
        <v>6351984460</v>
      </c>
      <c r="S1033">
        <v>0.16170000000000001</v>
      </c>
      <c r="T1033">
        <v>36912000000</v>
      </c>
    </row>
    <row r="1034" spans="1:20" x14ac:dyDescent="0.2">
      <c r="A1034" t="s">
        <v>142</v>
      </c>
      <c r="B1034" t="s">
        <v>80</v>
      </c>
      <c r="C1034">
        <v>2024</v>
      </c>
      <c r="D1034">
        <v>50663000000</v>
      </c>
      <c r="E1034">
        <v>2336058300</v>
      </c>
      <c r="F1034">
        <v>9129000000</v>
      </c>
      <c r="G1034">
        <v>6920000000</v>
      </c>
      <c r="H1034">
        <v>15755000000</v>
      </c>
      <c r="I1034">
        <v>0.3244960506058</v>
      </c>
      <c r="J1034">
        <v>12410181807.84</v>
      </c>
      <c r="K1034">
        <v>1917000000</v>
      </c>
      <c r="L1034">
        <v>-0.89375347254583304</v>
      </c>
      <c r="M1034">
        <v>1.7772250691892699</v>
      </c>
      <c r="N1034">
        <v>84.0118383846618</v>
      </c>
      <c r="O1034">
        <v>2.9648657872096398</v>
      </c>
      <c r="P1034">
        <v>20.10491</v>
      </c>
      <c r="Q1034">
        <v>13.919370000000001</v>
      </c>
      <c r="R1034">
        <v>4818500000</v>
      </c>
      <c r="S1034">
        <v>0.17499999999999999</v>
      </c>
      <c r="T1034">
        <v>34498000000</v>
      </c>
    </row>
    <row r="1035" spans="1:20" x14ac:dyDescent="0.2">
      <c r="A1035" t="s">
        <v>142</v>
      </c>
      <c r="B1035" t="s">
        <v>80</v>
      </c>
      <c r="C1035">
        <v>2025</v>
      </c>
      <c r="D1035">
        <v>48813000000</v>
      </c>
      <c r="E1035">
        <v>3613649920</v>
      </c>
      <c r="F1035">
        <v>9407000000</v>
      </c>
      <c r="G1035">
        <v>6182000000</v>
      </c>
      <c r="H1035">
        <v>15882000000</v>
      </c>
      <c r="I1035">
        <v>0.46898131088758899</v>
      </c>
      <c r="J1035">
        <v>15879272714.040001</v>
      </c>
      <c r="K1035">
        <v>2024000000</v>
      </c>
      <c r="L1035">
        <v>-11.137289696056801</v>
      </c>
      <c r="M1035">
        <v>10.2364811967155</v>
      </c>
      <c r="N1035">
        <v>84.536600939855703</v>
      </c>
      <c r="O1035">
        <v>5.4428146883005999</v>
      </c>
      <c r="P1035">
        <v>21.26482</v>
      </c>
      <c r="Q1035">
        <v>14.096109999999999</v>
      </c>
      <c r="R1035">
        <v>4520029790</v>
      </c>
      <c r="S1035">
        <v>0.19420000000000001</v>
      </c>
      <c r="T1035">
        <v>34024000000</v>
      </c>
    </row>
    <row r="1036" spans="1:20" x14ac:dyDescent="0.2">
      <c r="A1036" t="s">
        <v>139</v>
      </c>
      <c r="B1036" t="s">
        <v>76</v>
      </c>
      <c r="C1036">
        <v>2004</v>
      </c>
      <c r="D1036">
        <v>8610771488.7815495</v>
      </c>
      <c r="E1036">
        <v>989239032.45192301</v>
      </c>
      <c r="F1036">
        <v>1206279264.5683999</v>
      </c>
      <c r="G1036">
        <v>124230423.028981</v>
      </c>
      <c r="H1036">
        <v>4723603409.1617298</v>
      </c>
      <c r="I1036" t="s">
        <v>18</v>
      </c>
      <c r="J1036">
        <v>6516551717.5839195</v>
      </c>
      <c r="K1036">
        <v>295088666.10162902</v>
      </c>
      <c r="L1036" t="s">
        <v>18</v>
      </c>
      <c r="M1036">
        <v>-1.4928500627372701</v>
      </c>
      <c r="N1036" t="s">
        <v>18</v>
      </c>
      <c r="O1036" t="s">
        <v>18</v>
      </c>
      <c r="P1036">
        <v>39.446570000000001</v>
      </c>
      <c r="Q1036">
        <v>15.33201</v>
      </c>
      <c r="R1036">
        <v>654793288.76201904</v>
      </c>
      <c r="S1036" t="s">
        <v>18</v>
      </c>
      <c r="T1036">
        <v>6174165366.5472097</v>
      </c>
    </row>
    <row r="1037" spans="1:20" x14ac:dyDescent="0.2">
      <c r="A1037" t="s">
        <v>139</v>
      </c>
      <c r="B1037" t="s">
        <v>76</v>
      </c>
      <c r="C1037">
        <v>2005</v>
      </c>
      <c r="D1037">
        <v>9846880325.6747704</v>
      </c>
      <c r="E1037">
        <v>380897246.23410797</v>
      </c>
      <c r="F1037">
        <v>1376062450.59112</v>
      </c>
      <c r="G1037">
        <v>294238275.26210099</v>
      </c>
      <c r="H1037">
        <v>5662885759.0899</v>
      </c>
      <c r="I1037" t="s">
        <v>18</v>
      </c>
      <c r="J1037">
        <v>13969888934.2393</v>
      </c>
      <c r="K1037">
        <v>447949342.673145</v>
      </c>
      <c r="L1037" t="s">
        <v>18</v>
      </c>
      <c r="M1037">
        <v>-5.7240027628095902</v>
      </c>
      <c r="N1037" t="s">
        <v>18</v>
      </c>
      <c r="O1037" t="s">
        <v>18</v>
      </c>
      <c r="P1037">
        <v>42.032730000000001</v>
      </c>
      <c r="Q1037">
        <v>19.270479999999999</v>
      </c>
      <c r="R1037">
        <v>926669509.22920597</v>
      </c>
      <c r="S1037" t="s">
        <v>18</v>
      </c>
      <c r="T1037">
        <v>7247896213.2500601</v>
      </c>
    </row>
    <row r="1038" spans="1:20" x14ac:dyDescent="0.2">
      <c r="A1038" t="s">
        <v>139</v>
      </c>
      <c r="B1038" t="s">
        <v>76</v>
      </c>
      <c r="C1038">
        <v>2006</v>
      </c>
      <c r="D1038">
        <v>11160987988.505699</v>
      </c>
      <c r="E1038">
        <v>699673205.18683898</v>
      </c>
      <c r="F1038">
        <v>1333601206.8965499</v>
      </c>
      <c r="G1038">
        <v>578035000</v>
      </c>
      <c r="H1038">
        <v>6082018793.1034498</v>
      </c>
      <c r="I1038" t="s">
        <v>18</v>
      </c>
      <c r="J1038">
        <v>20095519729.011299</v>
      </c>
      <c r="K1038">
        <v>634461895.02377701</v>
      </c>
      <c r="L1038" t="s">
        <v>18</v>
      </c>
      <c r="M1038">
        <v>-6.2342597109315401</v>
      </c>
      <c r="N1038" t="s">
        <v>18</v>
      </c>
      <c r="O1038" t="s">
        <v>18</v>
      </c>
      <c r="P1038">
        <v>42.533360000000002</v>
      </c>
      <c r="Q1038">
        <v>23.506789999999999</v>
      </c>
      <c r="R1038">
        <v>1418832765.8805699</v>
      </c>
      <c r="S1038" t="s">
        <v>18</v>
      </c>
      <c r="T1038">
        <v>7918780000</v>
      </c>
    </row>
    <row r="1039" spans="1:20" x14ac:dyDescent="0.2">
      <c r="A1039" t="s">
        <v>139</v>
      </c>
      <c r="B1039" t="s">
        <v>76</v>
      </c>
      <c r="C1039">
        <v>2007</v>
      </c>
      <c r="D1039">
        <v>13418369142.6513</v>
      </c>
      <c r="E1039">
        <v>2220165549.85321</v>
      </c>
      <c r="F1039">
        <v>1763200385.2065301</v>
      </c>
      <c r="G1039">
        <v>1125868343.9001</v>
      </c>
      <c r="H1039">
        <v>7095351007.2046099</v>
      </c>
      <c r="I1039" t="s">
        <v>18</v>
      </c>
      <c r="J1039">
        <v>29939856737.569</v>
      </c>
      <c r="K1039">
        <v>1016272694.53345</v>
      </c>
      <c r="L1039" t="s">
        <v>18</v>
      </c>
      <c r="M1039">
        <v>8.6178785408037104</v>
      </c>
      <c r="N1039" t="s">
        <v>18</v>
      </c>
      <c r="O1039" t="s">
        <v>18</v>
      </c>
      <c r="P1039">
        <v>45.30959</v>
      </c>
      <c r="Q1039">
        <v>26.864429999999999</v>
      </c>
      <c r="R1039">
        <v>1926328947.1737399</v>
      </c>
      <c r="S1039" t="s">
        <v>18</v>
      </c>
      <c r="T1039">
        <v>9321390583.5734901</v>
      </c>
    </row>
    <row r="1040" spans="1:20" x14ac:dyDescent="0.2">
      <c r="A1040" t="s">
        <v>139</v>
      </c>
      <c r="B1040" t="s">
        <v>76</v>
      </c>
      <c r="C1040">
        <v>2008</v>
      </c>
      <c r="D1040">
        <v>13995056907.749901</v>
      </c>
      <c r="E1040">
        <v>2461684233.0293002</v>
      </c>
      <c r="F1040">
        <v>2763908856.2307401</v>
      </c>
      <c r="G1040">
        <v>175625811.867019</v>
      </c>
      <c r="H1040">
        <v>6464840841.0391903</v>
      </c>
      <c r="I1040" t="s">
        <v>18</v>
      </c>
      <c r="J1040">
        <v>17319604221.150799</v>
      </c>
      <c r="K1040">
        <v>1543468829.8348801</v>
      </c>
      <c r="L1040" t="s">
        <v>18</v>
      </c>
      <c r="M1040">
        <v>26.7357154359023</v>
      </c>
      <c r="N1040">
        <v>44.139470606643201</v>
      </c>
      <c r="O1040" t="s">
        <v>18</v>
      </c>
      <c r="P1040">
        <v>44.857729999999997</v>
      </c>
      <c r="Q1040">
        <v>30.477820000000001</v>
      </c>
      <c r="R1040">
        <v>2538594883.26371</v>
      </c>
      <c r="S1040" t="s">
        <v>18</v>
      </c>
      <c r="T1040">
        <v>9714465422.7212696</v>
      </c>
    </row>
    <row r="1041" spans="1:20" x14ac:dyDescent="0.2">
      <c r="A1041" t="s">
        <v>139</v>
      </c>
      <c r="B1041" t="s">
        <v>76</v>
      </c>
      <c r="C1041">
        <v>2009</v>
      </c>
      <c r="D1041">
        <v>17710271358.689999</v>
      </c>
      <c r="E1041">
        <v>3836340382.3714299</v>
      </c>
      <c r="F1041">
        <v>3982439019.0436301</v>
      </c>
      <c r="G1041">
        <v>191821505.17945001</v>
      </c>
      <c r="H1041">
        <v>6484577446.8975601</v>
      </c>
      <c r="I1041" t="s">
        <v>18</v>
      </c>
      <c r="J1041">
        <v>17978106583.684101</v>
      </c>
      <c r="K1041">
        <v>1902011987.61848</v>
      </c>
      <c r="L1041" t="s">
        <v>18</v>
      </c>
      <c r="M1041">
        <v>14.0433549408048</v>
      </c>
      <c r="N1041">
        <v>34.762839296665597</v>
      </c>
      <c r="O1041" t="s">
        <v>18</v>
      </c>
      <c r="P1041">
        <v>49.647199999999998</v>
      </c>
      <c r="Q1041">
        <v>36.196309999999997</v>
      </c>
      <c r="R1041">
        <v>2708809498.9201798</v>
      </c>
      <c r="S1041">
        <v>27.426300000000001</v>
      </c>
      <c r="T1041">
        <v>10922073219.1064</v>
      </c>
    </row>
    <row r="1042" spans="1:20" x14ac:dyDescent="0.2">
      <c r="A1042" t="s">
        <v>139</v>
      </c>
      <c r="B1042" t="s">
        <v>76</v>
      </c>
      <c r="C1042">
        <v>2010</v>
      </c>
      <c r="D1042">
        <v>20155439771.4534</v>
      </c>
      <c r="E1042">
        <v>6184442359.4932003</v>
      </c>
      <c r="F1042">
        <v>5960435392.0661697</v>
      </c>
      <c r="G1042">
        <v>244027773.84774399</v>
      </c>
      <c r="H1042">
        <v>7615833145.7800503</v>
      </c>
      <c r="I1042" t="s">
        <v>18</v>
      </c>
      <c r="J1042">
        <v>16239945728.855</v>
      </c>
      <c r="K1042">
        <v>1966806924.8666799</v>
      </c>
      <c r="L1042" t="s">
        <v>18</v>
      </c>
      <c r="M1042">
        <v>33.134273885032101</v>
      </c>
      <c r="N1042">
        <v>39.615675648935003</v>
      </c>
      <c r="O1042" t="s">
        <v>18</v>
      </c>
      <c r="P1042">
        <v>49.47645</v>
      </c>
      <c r="Q1042">
        <v>34.733029999999999</v>
      </c>
      <c r="R1042">
        <v>2549599476.6939001</v>
      </c>
      <c r="S1042">
        <v>28.9312</v>
      </c>
      <c r="T1042">
        <v>13816267192.686501</v>
      </c>
    </row>
    <row r="1043" spans="1:20" x14ac:dyDescent="0.2">
      <c r="A1043" t="s">
        <v>139</v>
      </c>
      <c r="B1043" t="s">
        <v>76</v>
      </c>
      <c r="C1043">
        <v>2011</v>
      </c>
      <c r="D1043">
        <v>21799203516.7131</v>
      </c>
      <c r="E1043">
        <v>6364139160.8023396</v>
      </c>
      <c r="F1043">
        <v>6585071362.7598</v>
      </c>
      <c r="G1043">
        <v>887505391.57917297</v>
      </c>
      <c r="H1043">
        <v>8867085068.0308609</v>
      </c>
      <c r="I1043" t="s">
        <v>18</v>
      </c>
      <c r="J1043">
        <v>15861193999.518299</v>
      </c>
      <c r="K1043">
        <v>2277030157.8530302</v>
      </c>
      <c r="L1043" t="s">
        <v>18</v>
      </c>
      <c r="M1043">
        <v>32.091107370304499</v>
      </c>
      <c r="N1043">
        <v>36.844214916239899</v>
      </c>
      <c r="O1043" t="s">
        <v>18</v>
      </c>
      <c r="P1043">
        <v>48.024120000000003</v>
      </c>
      <c r="Q1043">
        <v>32.620899999999999</v>
      </c>
      <c r="R1043">
        <v>2316820939.5704098</v>
      </c>
      <c r="S1043">
        <v>27.269600000000001</v>
      </c>
      <c r="T1043">
        <v>15677246346.689501</v>
      </c>
    </row>
    <row r="1044" spans="1:20" x14ac:dyDescent="0.2">
      <c r="A1044" t="s">
        <v>139</v>
      </c>
      <c r="B1044" t="s">
        <v>76</v>
      </c>
      <c r="C1044">
        <v>2012</v>
      </c>
      <c r="D1044">
        <v>23423247643.421902</v>
      </c>
      <c r="E1044">
        <v>7176420700.2994099</v>
      </c>
      <c r="F1044">
        <v>7416853461.3825302</v>
      </c>
      <c r="G1044">
        <v>863718578.95803797</v>
      </c>
      <c r="H1044">
        <v>8880109086.7626209</v>
      </c>
      <c r="I1044" t="s">
        <v>18</v>
      </c>
      <c r="J1044">
        <v>13760430152.320601</v>
      </c>
      <c r="K1044">
        <v>1660542011.4779899</v>
      </c>
      <c r="L1044" t="s">
        <v>18</v>
      </c>
      <c r="M1044">
        <v>17.526230248947201</v>
      </c>
      <c r="N1044">
        <v>35.961065545911602</v>
      </c>
      <c r="O1044" t="s">
        <v>18</v>
      </c>
      <c r="P1044">
        <v>43.38747</v>
      </c>
      <c r="Q1044">
        <v>29.40823</v>
      </c>
      <c r="R1044">
        <v>2373978862.5314598</v>
      </c>
      <c r="S1044">
        <v>24.3749</v>
      </c>
      <c r="T1044">
        <v>16507000177.3769</v>
      </c>
    </row>
    <row r="1045" spans="1:20" x14ac:dyDescent="0.2">
      <c r="A1045" t="s">
        <v>139</v>
      </c>
      <c r="B1045" t="s">
        <v>76</v>
      </c>
      <c r="C1045">
        <v>2013</v>
      </c>
      <c r="D1045">
        <v>25393214348.169601</v>
      </c>
      <c r="E1045">
        <v>6416289133.7127104</v>
      </c>
      <c r="F1045">
        <v>7700762623.1235199</v>
      </c>
      <c r="G1045">
        <v>243724076.90281799</v>
      </c>
      <c r="H1045">
        <v>9989892609.9552307</v>
      </c>
      <c r="I1045" t="s">
        <v>18</v>
      </c>
      <c r="J1045">
        <v>10990158296.4958</v>
      </c>
      <c r="K1045">
        <v>1599817150.2913401</v>
      </c>
      <c r="L1045" t="s">
        <v>18</v>
      </c>
      <c r="M1045">
        <v>9.4550356163904699</v>
      </c>
      <c r="N1045">
        <v>34.784391333703603</v>
      </c>
      <c r="O1045" t="s">
        <v>18</v>
      </c>
      <c r="P1045">
        <v>41.168320000000001</v>
      </c>
      <c r="Q1045">
        <v>26.589649999999999</v>
      </c>
      <c r="R1045">
        <v>1911025903.82866</v>
      </c>
      <c r="S1045">
        <v>28.213100000000001</v>
      </c>
      <c r="T1045">
        <v>17849704655.2542</v>
      </c>
    </row>
    <row r="1046" spans="1:20" x14ac:dyDescent="0.2">
      <c r="A1046" t="s">
        <v>139</v>
      </c>
      <c r="B1046" t="s">
        <v>76</v>
      </c>
      <c r="C1046">
        <v>2014</v>
      </c>
      <c r="D1046">
        <v>23452745935.769699</v>
      </c>
      <c r="E1046">
        <v>6228009468.5021696</v>
      </c>
      <c r="F1046">
        <v>7288437563.67663</v>
      </c>
      <c r="G1046">
        <v>419875470.65337801</v>
      </c>
      <c r="H1046">
        <v>9451354728.6821709</v>
      </c>
      <c r="I1046">
        <v>2.3893585999623399</v>
      </c>
      <c r="J1046">
        <v>12174658682.9506</v>
      </c>
      <c r="K1046">
        <v>1357428162.73771</v>
      </c>
      <c r="L1046">
        <v>-1.06420941001938</v>
      </c>
      <c r="M1046">
        <v>-0.24368245889519999</v>
      </c>
      <c r="N1046">
        <v>33.0544639596894</v>
      </c>
      <c r="O1046">
        <v>-11.061080748311801</v>
      </c>
      <c r="P1046">
        <v>39.02704</v>
      </c>
      <c r="Q1046">
        <v>24.526240000000001</v>
      </c>
      <c r="R1046">
        <v>1505114374.29231</v>
      </c>
      <c r="S1046">
        <v>27.730599999999999</v>
      </c>
      <c r="T1046">
        <v>16911551207.0875</v>
      </c>
    </row>
    <row r="1047" spans="1:20" x14ac:dyDescent="0.2">
      <c r="A1047" t="s">
        <v>139</v>
      </c>
      <c r="B1047" t="s">
        <v>76</v>
      </c>
      <c r="C1047">
        <v>2015</v>
      </c>
      <c r="D1047">
        <v>22732512942.361599</v>
      </c>
      <c r="E1047">
        <v>5666749204.4203196</v>
      </c>
      <c r="F1047">
        <v>6666712118.9558496</v>
      </c>
      <c r="G1047">
        <v>471218016.38051897</v>
      </c>
      <c r="H1047">
        <v>9460855737.5613194</v>
      </c>
      <c r="I1047">
        <v>2.2796901893437198</v>
      </c>
      <c r="J1047">
        <v>9351564583.1531792</v>
      </c>
      <c r="K1047">
        <v>815430108.090397</v>
      </c>
      <c r="L1047">
        <v>3.6446932314618898</v>
      </c>
      <c r="M1047">
        <v>-12.747848798961799</v>
      </c>
      <c r="N1047">
        <v>27.160357406105899</v>
      </c>
      <c r="O1047">
        <v>3.0953134105822202</v>
      </c>
      <c r="P1047">
        <v>37.347589999999997</v>
      </c>
      <c r="Q1047">
        <v>21.45514</v>
      </c>
      <c r="R1047">
        <v>1428087370.6529901</v>
      </c>
      <c r="S1047">
        <v>29.0245</v>
      </c>
      <c r="T1047">
        <v>16292050641.643299</v>
      </c>
    </row>
    <row r="1048" spans="1:20" x14ac:dyDescent="0.2">
      <c r="A1048" t="s">
        <v>139</v>
      </c>
      <c r="B1048" t="s">
        <v>76</v>
      </c>
      <c r="C1048">
        <v>2016</v>
      </c>
      <c r="D1048">
        <v>22322484842.1222</v>
      </c>
      <c r="E1048">
        <v>5131748719.0992603</v>
      </c>
      <c r="F1048">
        <v>5833315238.3250904</v>
      </c>
      <c r="G1048">
        <v>258305335.26406801</v>
      </c>
      <c r="H1048">
        <v>9922310177.7885094</v>
      </c>
      <c r="I1048">
        <v>2.3851596125514098</v>
      </c>
      <c r="J1048">
        <v>8257830990.1600199</v>
      </c>
      <c r="K1048">
        <v>753947687.43409097</v>
      </c>
      <c r="L1048">
        <v>-4.1457725456037001E-2</v>
      </c>
      <c r="M1048">
        <v>-12.7250285079054</v>
      </c>
      <c r="N1048">
        <v>44.808035056841</v>
      </c>
      <c r="O1048">
        <v>7.6879193499959602</v>
      </c>
      <c r="P1048">
        <v>33.414940000000001</v>
      </c>
      <c r="Q1048">
        <v>17.91469</v>
      </c>
      <c r="R1048">
        <v>1044654132.1325001</v>
      </c>
      <c r="S1048">
        <v>27.523099999999999</v>
      </c>
      <c r="T1048">
        <v>15913482791.9231</v>
      </c>
    </row>
    <row r="1049" spans="1:20" x14ac:dyDescent="0.2">
      <c r="A1049" t="s">
        <v>139</v>
      </c>
      <c r="B1049" t="s">
        <v>76</v>
      </c>
      <c r="C1049">
        <v>2017</v>
      </c>
      <c r="D1049">
        <v>23395818746.101101</v>
      </c>
      <c r="E1049">
        <v>5627078205.6829596</v>
      </c>
      <c r="F1049">
        <v>6223743730.5052996</v>
      </c>
      <c r="G1049">
        <v>285011384.90330601</v>
      </c>
      <c r="H1049">
        <v>9524312788.5215206</v>
      </c>
      <c r="I1049">
        <v>2.68171666198071</v>
      </c>
      <c r="J1049">
        <v>10438125740.495001</v>
      </c>
      <c r="K1049">
        <v>539590967.22090197</v>
      </c>
      <c r="L1049">
        <v>0.42506809843722698</v>
      </c>
      <c r="M1049">
        <v>-7.7585736857206404</v>
      </c>
      <c r="N1049">
        <v>48.439258449094702</v>
      </c>
      <c r="O1049">
        <v>-11.1566569919505</v>
      </c>
      <c r="P1049">
        <v>30.540220000000001</v>
      </c>
      <c r="Q1049">
        <v>14.632020000000001</v>
      </c>
      <c r="R1049">
        <v>892848073.83440495</v>
      </c>
      <c r="S1049">
        <v>24.370200000000001</v>
      </c>
      <c r="T1049">
        <v>15916726887.0867</v>
      </c>
    </row>
    <row r="1050" spans="1:20" x14ac:dyDescent="0.2">
      <c r="A1050" t="s">
        <v>139</v>
      </c>
      <c r="B1050" t="s">
        <v>76</v>
      </c>
      <c r="C1050">
        <v>2018</v>
      </c>
      <c r="D1050">
        <v>24442817965.034302</v>
      </c>
      <c r="E1050">
        <v>5437859392.6282501</v>
      </c>
      <c r="F1050">
        <v>6045298348.99897</v>
      </c>
      <c r="G1050">
        <v>324895560.20302701</v>
      </c>
      <c r="H1050">
        <v>9794976265.6264706</v>
      </c>
      <c r="I1050">
        <v>2.80153201491254</v>
      </c>
      <c r="J1050">
        <v>11338352528.438999</v>
      </c>
      <c r="K1050">
        <v>721035479.97986197</v>
      </c>
      <c r="L1050">
        <v>6.3034593901716498</v>
      </c>
      <c r="M1050">
        <v>-10.526640965988801</v>
      </c>
      <c r="N1050">
        <v>58.163022375200903</v>
      </c>
      <c r="O1050" t="s">
        <v>18</v>
      </c>
      <c r="P1050">
        <v>28.35829</v>
      </c>
      <c r="Q1050">
        <v>11.760300000000001</v>
      </c>
      <c r="R1050">
        <v>884183648.07832098</v>
      </c>
      <c r="S1050">
        <v>27.899699999999999</v>
      </c>
      <c r="T1050">
        <v>16008892785.506201</v>
      </c>
    </row>
    <row r="1051" spans="1:20" x14ac:dyDescent="0.2">
      <c r="A1051" t="s">
        <v>139</v>
      </c>
      <c r="B1051" t="s">
        <v>76</v>
      </c>
      <c r="C1051">
        <v>2019</v>
      </c>
      <c r="D1051">
        <v>27518791013.160801</v>
      </c>
      <c r="E1051">
        <v>6135148941.7612</v>
      </c>
      <c r="F1051">
        <v>6261408642.4269505</v>
      </c>
      <c r="G1051">
        <v>166176321.21347299</v>
      </c>
      <c r="H1051">
        <v>9130400817.3098392</v>
      </c>
      <c r="I1051">
        <v>2.6466528970654601</v>
      </c>
      <c r="J1051">
        <v>10822498938.061399</v>
      </c>
      <c r="K1051">
        <v>409728193.27141398</v>
      </c>
      <c r="L1051">
        <v>6.0935067985238502</v>
      </c>
      <c r="M1051">
        <v>-10.625772168452601</v>
      </c>
      <c r="N1051">
        <v>63.199590931570299</v>
      </c>
      <c r="O1051">
        <v>26.301309117657201</v>
      </c>
      <c r="P1051">
        <v>29.224350000000001</v>
      </c>
      <c r="Q1051">
        <v>11.48424</v>
      </c>
      <c r="R1051">
        <v>1131347820.0093701</v>
      </c>
      <c r="S1051">
        <v>31.333400000000001</v>
      </c>
      <c r="T1051">
        <v>15569188679.0096</v>
      </c>
    </row>
    <row r="1052" spans="1:20" x14ac:dyDescent="0.2">
      <c r="A1052" t="s">
        <v>139</v>
      </c>
      <c r="B1052" t="s">
        <v>76</v>
      </c>
      <c r="C1052">
        <v>2020</v>
      </c>
      <c r="D1052">
        <v>27734634297.061199</v>
      </c>
      <c r="E1052">
        <v>6201224635.15271</v>
      </c>
      <c r="F1052">
        <v>6766343199.1880703</v>
      </c>
      <c r="G1052">
        <v>182962442.85588199</v>
      </c>
      <c r="H1052">
        <v>9870878901.2443695</v>
      </c>
      <c r="I1052">
        <v>2.4283616673999799</v>
      </c>
      <c r="J1052">
        <v>9548458793.9354992</v>
      </c>
      <c r="K1052">
        <v>565244494.55582905</v>
      </c>
      <c r="L1052">
        <v>-1.64206125758304</v>
      </c>
      <c r="M1052">
        <v>-3.59993442316593</v>
      </c>
      <c r="N1052">
        <v>63.927803234409303</v>
      </c>
      <c r="O1052">
        <v>26.865203991695001</v>
      </c>
      <c r="P1052">
        <v>28.080439999999999</v>
      </c>
      <c r="Q1052">
        <v>11.67057</v>
      </c>
      <c r="R1052">
        <v>1248735007.5418799</v>
      </c>
      <c r="S1052">
        <v>34.679000000000002</v>
      </c>
      <c r="T1052">
        <v>16818413177.124701</v>
      </c>
    </row>
    <row r="1053" spans="1:20" x14ac:dyDescent="0.2">
      <c r="A1053" t="s">
        <v>139</v>
      </c>
      <c r="B1053" t="s">
        <v>76</v>
      </c>
      <c r="C1053">
        <v>2021</v>
      </c>
      <c r="D1053">
        <v>26818324726.068901</v>
      </c>
      <c r="E1053">
        <v>5203336318.9760103</v>
      </c>
      <c r="F1053">
        <v>5796425961.6729603</v>
      </c>
      <c r="G1053">
        <v>209672662.843288</v>
      </c>
      <c r="H1053">
        <v>8928688152.1891193</v>
      </c>
      <c r="I1053">
        <v>2.0381130811072699</v>
      </c>
      <c r="J1053">
        <v>15683918289.4636</v>
      </c>
      <c r="K1053">
        <v>207001457.22753599</v>
      </c>
      <c r="L1053">
        <v>6.48331051784678</v>
      </c>
      <c r="M1053">
        <v>-0.220975070761953</v>
      </c>
      <c r="N1053">
        <v>66.746406724066205</v>
      </c>
      <c r="O1053">
        <v>17.904436347552899</v>
      </c>
      <c r="P1053">
        <v>29.811669999999999</v>
      </c>
      <c r="Q1053">
        <v>14.498239999999999</v>
      </c>
      <c r="R1053">
        <v>935987831.348858</v>
      </c>
      <c r="S1053">
        <v>19.8202</v>
      </c>
      <c r="T1053">
        <v>14904244509.7216</v>
      </c>
    </row>
    <row r="1054" spans="1:20" x14ac:dyDescent="0.2">
      <c r="A1054" t="s">
        <v>139</v>
      </c>
      <c r="B1054" t="s">
        <v>76</v>
      </c>
      <c r="C1054">
        <v>2022</v>
      </c>
      <c r="D1054">
        <v>47631883951.668297</v>
      </c>
      <c r="E1054">
        <v>4367881269.7744703</v>
      </c>
      <c r="F1054">
        <v>5551572950.7071304</v>
      </c>
      <c r="G1054">
        <v>1069127708.36194</v>
      </c>
      <c r="H1054">
        <v>6485947488.6722498</v>
      </c>
      <c r="I1054">
        <v>0.88107335985167001</v>
      </c>
      <c r="J1054">
        <v>17531298057.713501</v>
      </c>
      <c r="K1054">
        <v>386800358.35043103</v>
      </c>
      <c r="L1054">
        <v>15.357232282916399</v>
      </c>
      <c r="M1054">
        <v>-1.9458385519216601</v>
      </c>
      <c r="N1054">
        <v>67.442007148341403</v>
      </c>
      <c r="O1054">
        <v>12.1313396406305</v>
      </c>
      <c r="P1054">
        <v>31.778919999999999</v>
      </c>
      <c r="Q1054">
        <v>16.048249999999999</v>
      </c>
      <c r="R1054">
        <v>3432172400.9335599</v>
      </c>
      <c r="S1054">
        <v>37.907200000000003</v>
      </c>
      <c r="T1054">
        <v>12107654894.960899</v>
      </c>
    </row>
    <row r="1055" spans="1:20" x14ac:dyDescent="0.2">
      <c r="A1055" t="s">
        <v>139</v>
      </c>
      <c r="B1055" t="s">
        <v>76</v>
      </c>
      <c r="C1055">
        <v>2023</v>
      </c>
      <c r="D1055">
        <v>45878153409.594803</v>
      </c>
      <c r="E1055">
        <v>6117404702.9025898</v>
      </c>
      <c r="F1055">
        <v>8374799255.1210403</v>
      </c>
      <c r="G1055">
        <v>209550199.52114901</v>
      </c>
      <c r="H1055">
        <v>10725506712.7782</v>
      </c>
      <c r="I1055">
        <v>1.3116957530739</v>
      </c>
      <c r="J1055">
        <v>21725571136.502701</v>
      </c>
      <c r="K1055">
        <v>3289861689.1531901</v>
      </c>
      <c r="L1055">
        <v>4.1257842176389401</v>
      </c>
      <c r="M1055">
        <v>2.03968790050078</v>
      </c>
      <c r="N1055">
        <v>69.007126453191205</v>
      </c>
      <c r="O1055">
        <v>16.200385064033</v>
      </c>
      <c r="P1055">
        <v>33.439599999999999</v>
      </c>
      <c r="Q1055">
        <v>20.51606</v>
      </c>
      <c r="R1055">
        <v>3475006441.9531598</v>
      </c>
      <c r="S1055">
        <v>39.091900000000003</v>
      </c>
      <c r="T1055">
        <v>19157271472.9095</v>
      </c>
    </row>
    <row r="1056" spans="1:20" x14ac:dyDescent="0.2">
      <c r="A1056" t="s">
        <v>139</v>
      </c>
      <c r="B1056" t="s">
        <v>76</v>
      </c>
      <c r="C1056">
        <v>2024</v>
      </c>
      <c r="D1056">
        <v>33475771271.027199</v>
      </c>
      <c r="E1056">
        <v>7159394766.3140697</v>
      </c>
      <c r="F1056">
        <v>6847459659.09091</v>
      </c>
      <c r="G1056">
        <v>225924413.47530401</v>
      </c>
      <c r="H1056">
        <v>9893648835.0035801</v>
      </c>
      <c r="I1056">
        <v>1.45530358857122</v>
      </c>
      <c r="J1056">
        <v>20509551130.178101</v>
      </c>
      <c r="K1056">
        <v>1234169842.7579601</v>
      </c>
      <c r="L1056">
        <v>-5.2179403378073701</v>
      </c>
      <c r="M1056">
        <v>11.815904095324999</v>
      </c>
      <c r="N1056">
        <v>69.941678884169406</v>
      </c>
      <c r="O1056">
        <v>30.027361802499701</v>
      </c>
      <c r="P1056">
        <v>32.503030000000003</v>
      </c>
      <c r="Q1056">
        <v>21.998370000000001</v>
      </c>
      <c r="R1056">
        <v>3391626424.5278001</v>
      </c>
      <c r="S1056">
        <v>15.169</v>
      </c>
      <c r="T1056">
        <v>16803903562.544701</v>
      </c>
    </row>
    <row r="1057" spans="1:20" x14ac:dyDescent="0.2">
      <c r="A1057" t="s">
        <v>139</v>
      </c>
      <c r="B1057" t="s">
        <v>76</v>
      </c>
      <c r="C1057">
        <v>2025</v>
      </c>
      <c r="D1057">
        <v>35817163566.847603</v>
      </c>
      <c r="E1057">
        <v>9783505437.9438896</v>
      </c>
      <c r="F1057">
        <v>9774515667.6533508</v>
      </c>
      <c r="G1057">
        <v>286386729.156389</v>
      </c>
      <c r="H1057">
        <v>9501511124.8150005</v>
      </c>
      <c r="I1057">
        <v>1.7931197933399401</v>
      </c>
      <c r="J1057">
        <v>28408812178.550999</v>
      </c>
      <c r="K1057">
        <v>1216340706.2786701</v>
      </c>
      <c r="L1057">
        <v>-12.1297782615485</v>
      </c>
      <c r="M1057">
        <v>12.672013531121401</v>
      </c>
      <c r="N1057">
        <v>65.274828496382597</v>
      </c>
      <c r="O1057">
        <v>23.9869711544913</v>
      </c>
      <c r="P1057">
        <v>38.555430000000001</v>
      </c>
      <c r="Q1057">
        <v>26.299720000000001</v>
      </c>
      <c r="R1057">
        <v>3349190616.1113801</v>
      </c>
      <c r="S1057">
        <v>18.175699999999999</v>
      </c>
      <c r="T1057">
        <v>19738248302.088501</v>
      </c>
    </row>
    <row r="1058" spans="1:20" x14ac:dyDescent="0.2">
      <c r="A1058" t="s">
        <v>100</v>
      </c>
      <c r="B1058" t="s">
        <v>82</v>
      </c>
      <c r="C1058">
        <v>2005</v>
      </c>
      <c r="D1058">
        <v>264155062.97070301</v>
      </c>
      <c r="F1058">
        <v>65734044.693876199</v>
      </c>
      <c r="H1058">
        <v>130378243.525345</v>
      </c>
      <c r="J1058" t="s">
        <v>18</v>
      </c>
      <c r="M1058">
        <v>196112288.219221</v>
      </c>
      <c r="N1058" t="s">
        <v>18</v>
      </c>
      <c r="P1058">
        <v>11.105409999999999</v>
      </c>
      <c r="Q1058">
        <v>3.6543299999999999</v>
      </c>
      <c r="R1058" t="s">
        <v>18</v>
      </c>
      <c r="S1058" t="s">
        <v>18</v>
      </c>
    </row>
    <row r="1059" spans="1:20" x14ac:dyDescent="0.2">
      <c r="A1059" t="s">
        <v>100</v>
      </c>
      <c r="B1059" t="s">
        <v>82</v>
      </c>
      <c r="C1059">
        <v>2006</v>
      </c>
      <c r="D1059">
        <v>792177952.12575197</v>
      </c>
      <c r="F1059">
        <v>276646653.72136497</v>
      </c>
      <c r="H1059">
        <v>157550132.96507999</v>
      </c>
      <c r="J1059">
        <v>6849518198.7344198</v>
      </c>
      <c r="M1059">
        <v>434196786.68643701</v>
      </c>
      <c r="N1059">
        <v>15.973204877314499</v>
      </c>
      <c r="P1059">
        <v>34.526890000000002</v>
      </c>
      <c r="Q1059">
        <v>25.224769999999999</v>
      </c>
      <c r="R1059" t="s">
        <v>18</v>
      </c>
      <c r="S1059" t="s">
        <v>18</v>
      </c>
    </row>
    <row r="1060" spans="1:20" x14ac:dyDescent="0.2">
      <c r="A1060" t="s">
        <v>100</v>
      </c>
      <c r="B1060" t="s">
        <v>82</v>
      </c>
      <c r="C1060">
        <v>2007</v>
      </c>
      <c r="D1060">
        <v>1797080492.0469201</v>
      </c>
      <c r="F1060">
        <v>321497196.34032601</v>
      </c>
      <c r="H1060">
        <v>1293232407.22789</v>
      </c>
      <c r="J1060">
        <v>17140686485.67</v>
      </c>
      <c r="M1060">
        <v>1614729603.5682199</v>
      </c>
      <c r="N1060">
        <v>37.5895014259562</v>
      </c>
      <c r="P1060">
        <v>54.603729999999999</v>
      </c>
      <c r="Q1060">
        <v>36.599179999999997</v>
      </c>
      <c r="R1060">
        <v>183394859.44839999</v>
      </c>
      <c r="S1060" t="s">
        <v>18</v>
      </c>
    </row>
    <row r="1061" spans="1:20" x14ac:dyDescent="0.2">
      <c r="A1061" t="s">
        <v>100</v>
      </c>
      <c r="B1061" t="s">
        <v>82</v>
      </c>
      <c r="C1061">
        <v>2008</v>
      </c>
      <c r="D1061">
        <v>2263350426.1872802</v>
      </c>
      <c r="F1061">
        <v>352716852.33775699</v>
      </c>
      <c r="H1061">
        <v>1482812101.1003399</v>
      </c>
      <c r="J1061">
        <v>3234103776.4835</v>
      </c>
      <c r="M1061">
        <v>1835572592.5901999</v>
      </c>
      <c r="N1061">
        <v>42.6884688314519</v>
      </c>
      <c r="P1061">
        <v>56.778689999999997</v>
      </c>
      <c r="Q1061">
        <v>39.17624</v>
      </c>
      <c r="R1061">
        <v>323387736.06040001</v>
      </c>
      <c r="S1061">
        <v>79.172300000000007</v>
      </c>
    </row>
    <row r="1062" spans="1:20" x14ac:dyDescent="0.2">
      <c r="A1062" t="s">
        <v>100</v>
      </c>
      <c r="B1062" t="s">
        <v>82</v>
      </c>
      <c r="C1062">
        <v>2009</v>
      </c>
      <c r="D1062">
        <v>3111718815.6019201</v>
      </c>
      <c r="F1062">
        <v>679429882.07852697</v>
      </c>
      <c r="H1062">
        <v>1700840844.8879099</v>
      </c>
      <c r="J1062">
        <v>3580581110.9805298</v>
      </c>
      <c r="M1062">
        <v>2380270726.9664402</v>
      </c>
      <c r="N1062">
        <v>38.448263252515602</v>
      </c>
      <c r="P1062">
        <v>49.624380000000002</v>
      </c>
      <c r="Q1062">
        <v>31.309729999999998</v>
      </c>
      <c r="R1062">
        <v>299989942.15689999</v>
      </c>
      <c r="S1062">
        <v>88.491799999999998</v>
      </c>
    </row>
    <row r="1063" spans="1:20" x14ac:dyDescent="0.2">
      <c r="A1063" t="s">
        <v>100</v>
      </c>
      <c r="B1063" t="s">
        <v>82</v>
      </c>
      <c r="C1063">
        <v>2010</v>
      </c>
      <c r="D1063">
        <v>4115593896.5029202</v>
      </c>
      <c r="F1063">
        <v>1444087071.4951501</v>
      </c>
      <c r="H1063">
        <v>2038746622.0181601</v>
      </c>
      <c r="J1063">
        <v>2270210504.58706</v>
      </c>
      <c r="M1063">
        <v>3482833693.51331</v>
      </c>
      <c r="N1063">
        <v>43.721490010847901</v>
      </c>
      <c r="P1063">
        <v>86.728570000000005</v>
      </c>
      <c r="Q1063">
        <v>5.9902600000000001</v>
      </c>
      <c r="R1063">
        <v>-8856872.5373999998</v>
      </c>
      <c r="S1063">
        <v>92.3904</v>
      </c>
    </row>
    <row r="1064" spans="1:20" x14ac:dyDescent="0.2">
      <c r="A1064" t="s">
        <v>100</v>
      </c>
      <c r="B1064" t="s">
        <v>82</v>
      </c>
      <c r="C1064">
        <v>2011</v>
      </c>
      <c r="D1064">
        <v>4733661539.3864498</v>
      </c>
      <c r="F1064">
        <v>1153079631.7290201</v>
      </c>
      <c r="H1064">
        <v>2984396080.2501001</v>
      </c>
      <c r="J1064">
        <v>427901482.47011697</v>
      </c>
      <c r="M1064">
        <v>4137475711.9791198</v>
      </c>
      <c r="N1064">
        <v>47.216277810750498</v>
      </c>
      <c r="P1064">
        <v>44.250869999999999</v>
      </c>
      <c r="Q1064">
        <v>7.6655100000000003</v>
      </c>
      <c r="R1064">
        <v>72983221.762500003</v>
      </c>
      <c r="S1064">
        <v>88.589500000000001</v>
      </c>
    </row>
    <row r="1065" spans="1:20" x14ac:dyDescent="0.2">
      <c r="A1065" t="s">
        <v>100</v>
      </c>
      <c r="B1065" t="s">
        <v>82</v>
      </c>
      <c r="C1065">
        <v>2012</v>
      </c>
      <c r="D1065">
        <v>3162847605.6620798</v>
      </c>
      <c r="F1065">
        <v>810681658.46802497</v>
      </c>
      <c r="H1065">
        <v>1575865876.9199901</v>
      </c>
      <c r="J1065">
        <v>306346870.74398798</v>
      </c>
      <c r="M1065">
        <v>2386547535.38801</v>
      </c>
      <c r="N1065">
        <v>59.588190785845299</v>
      </c>
      <c r="P1065">
        <v>22.147369999999999</v>
      </c>
      <c r="Q1065">
        <v>2.55789</v>
      </c>
      <c r="R1065">
        <v>-861593321.49660003</v>
      </c>
      <c r="S1065">
        <v>62.197200000000002</v>
      </c>
    </row>
    <row r="1066" spans="1:20" x14ac:dyDescent="0.2">
      <c r="A1066" t="s">
        <v>100</v>
      </c>
      <c r="B1066" t="s">
        <v>82</v>
      </c>
      <c r="C1066">
        <v>2013</v>
      </c>
      <c r="D1066">
        <v>1873729824</v>
      </c>
      <c r="F1066">
        <v>507957984</v>
      </c>
      <c r="H1066">
        <v>971501856</v>
      </c>
      <c r="J1066">
        <v>674636984.920928</v>
      </c>
      <c r="M1066">
        <v>1479459840</v>
      </c>
      <c r="N1066">
        <v>52.321220953468902</v>
      </c>
      <c r="P1066">
        <v>-9.4025499999999997</v>
      </c>
      <c r="Q1066">
        <v>-43.127650000000003</v>
      </c>
      <c r="R1066">
        <v>-151773603.8364</v>
      </c>
      <c r="S1066">
        <v>60.64</v>
      </c>
    </row>
    <row r="1067" spans="1:20" x14ac:dyDescent="0.2">
      <c r="A1067" t="s">
        <v>100</v>
      </c>
      <c r="B1067" t="s">
        <v>82</v>
      </c>
      <c r="C1067">
        <v>2014</v>
      </c>
      <c r="D1067">
        <v>1109207484</v>
      </c>
      <c r="F1067">
        <v>268607768</v>
      </c>
      <c r="H1067">
        <v>695528240</v>
      </c>
      <c r="J1067">
        <v>456999766.19333702</v>
      </c>
      <c r="M1067">
        <v>964136008</v>
      </c>
      <c r="N1067">
        <v>47.081721265585898</v>
      </c>
      <c r="P1067">
        <v>12.57184</v>
      </c>
      <c r="Q1067">
        <v>-17.983720000000002</v>
      </c>
      <c r="R1067">
        <v>-57724889.558200002</v>
      </c>
      <c r="S1067">
        <v>59.127800000000001</v>
      </c>
    </row>
    <row r="1068" spans="1:20" x14ac:dyDescent="0.2">
      <c r="A1068" t="s">
        <v>100</v>
      </c>
      <c r="B1068" t="s">
        <v>82</v>
      </c>
      <c r="C1068">
        <v>2015</v>
      </c>
      <c r="D1068">
        <v>1218647430</v>
      </c>
      <c r="F1068">
        <v>157642155</v>
      </c>
      <c r="H1068">
        <v>871619760</v>
      </c>
      <c r="J1068">
        <v>475289713.55131698</v>
      </c>
      <c r="M1068">
        <v>1029261915</v>
      </c>
      <c r="N1068">
        <v>37.074145203772296</v>
      </c>
      <c r="P1068">
        <v>47.241379999999999</v>
      </c>
      <c r="Q1068">
        <v>19.97972</v>
      </c>
      <c r="R1068">
        <v>31982004.670000002</v>
      </c>
      <c r="S1068">
        <v>0</v>
      </c>
    </row>
    <row r="1069" spans="1:20" x14ac:dyDescent="0.2">
      <c r="A1069" t="s">
        <v>100</v>
      </c>
      <c r="B1069" t="s">
        <v>82</v>
      </c>
      <c r="C1069">
        <v>2016</v>
      </c>
      <c r="D1069">
        <v>1134622082</v>
      </c>
      <c r="F1069">
        <v>167495339</v>
      </c>
      <c r="H1069">
        <v>848066010</v>
      </c>
      <c r="J1069">
        <v>319374284.320333</v>
      </c>
      <c r="M1069">
        <v>1015561349</v>
      </c>
      <c r="N1069">
        <v>45.589423178987801</v>
      </c>
      <c r="P1069">
        <v>-3.7890299999999999</v>
      </c>
      <c r="Q1069">
        <v>-44.468020000000003</v>
      </c>
      <c r="R1069">
        <v>-105618097.67919999</v>
      </c>
      <c r="S1069">
        <v>44.277299999999997</v>
      </c>
    </row>
    <row r="1070" spans="1:20" x14ac:dyDescent="0.2">
      <c r="A1070" t="s">
        <v>100</v>
      </c>
      <c r="B1070" t="s">
        <v>82</v>
      </c>
      <c r="C1070">
        <v>2017</v>
      </c>
      <c r="D1070">
        <v>1018354720</v>
      </c>
      <c r="F1070">
        <v>159040640</v>
      </c>
      <c r="H1070">
        <v>743838400</v>
      </c>
      <c r="J1070">
        <v>356569128.61143202</v>
      </c>
      <c r="M1070">
        <v>902879040</v>
      </c>
      <c r="N1070">
        <v>34.529400313248097</v>
      </c>
      <c r="P1070">
        <v>-10.730090000000001</v>
      </c>
      <c r="Q1070">
        <v>-44.727139999999999</v>
      </c>
      <c r="R1070">
        <v>-179983933.56</v>
      </c>
      <c r="S1070">
        <v>46.6997</v>
      </c>
    </row>
    <row r="1071" spans="1:20" x14ac:dyDescent="0.2">
      <c r="A1071" t="s">
        <v>100</v>
      </c>
      <c r="B1071" t="s">
        <v>82</v>
      </c>
      <c r="C1071">
        <v>2018</v>
      </c>
      <c r="D1071">
        <v>667054722</v>
      </c>
      <c r="F1071">
        <v>156551958</v>
      </c>
      <c r="H1071">
        <v>374207529</v>
      </c>
      <c r="J1071">
        <v>150648671.206027</v>
      </c>
      <c r="M1071">
        <v>530759487</v>
      </c>
      <c r="N1071">
        <v>37.9345898966627</v>
      </c>
      <c r="P1071">
        <v>7.4889900000000003</v>
      </c>
      <c r="Q1071">
        <v>-46.475769999999997</v>
      </c>
      <c r="R1071">
        <v>-110796927.164</v>
      </c>
      <c r="S1071">
        <v>31.080500000000001</v>
      </c>
    </row>
    <row r="1072" spans="1:20" x14ac:dyDescent="0.2">
      <c r="A1072" t="s">
        <v>100</v>
      </c>
      <c r="B1072" t="s">
        <v>82</v>
      </c>
      <c r="C1072">
        <v>2019</v>
      </c>
      <c r="D1072">
        <v>311537016</v>
      </c>
      <c r="F1072">
        <v>114483096</v>
      </c>
      <c r="H1072">
        <v>93033864</v>
      </c>
      <c r="J1072">
        <v>75939152.607470602</v>
      </c>
      <c r="M1072">
        <v>207516960</v>
      </c>
      <c r="N1072">
        <v>35.9223576333168</v>
      </c>
      <c r="P1072">
        <v>-1.4014500000000001</v>
      </c>
      <c r="Q1072">
        <v>-29.249549999999999</v>
      </c>
      <c r="R1072">
        <v>-361347183.72409999</v>
      </c>
      <c r="S1072">
        <v>20.9114</v>
      </c>
    </row>
    <row r="1073" spans="1:19" x14ac:dyDescent="0.2">
      <c r="A1073" t="s">
        <v>100</v>
      </c>
      <c r="B1073" t="s">
        <v>82</v>
      </c>
      <c r="C1073">
        <v>2020</v>
      </c>
      <c r="D1073">
        <v>259232636</v>
      </c>
      <c r="F1073">
        <v>160570800</v>
      </c>
      <c r="H1073">
        <v>713648</v>
      </c>
      <c r="J1073">
        <v>571131050.90404701</v>
      </c>
      <c r="M1073">
        <v>161284448</v>
      </c>
      <c r="N1073">
        <v>40.305101489819599</v>
      </c>
      <c r="P1073">
        <v>-6.9912599999999996</v>
      </c>
      <c r="Q1073">
        <v>-37.827719999999999</v>
      </c>
      <c r="R1073">
        <v>-63946860</v>
      </c>
      <c r="S1073">
        <v>0.4098</v>
      </c>
    </row>
    <row r="1074" spans="1:19" x14ac:dyDescent="0.2">
      <c r="A1074" t="s">
        <v>100</v>
      </c>
      <c r="B1074" t="s">
        <v>82</v>
      </c>
      <c r="C1074">
        <v>2021</v>
      </c>
      <c r="D1074">
        <v>279538320</v>
      </c>
      <c r="F1074">
        <v>179808480</v>
      </c>
      <c r="H1074">
        <v>48309200</v>
      </c>
      <c r="J1074">
        <v>669958571.883973</v>
      </c>
      <c r="M1074">
        <v>228117680</v>
      </c>
      <c r="N1074">
        <v>27.318131779490201</v>
      </c>
      <c r="P1074">
        <v>19.49222</v>
      </c>
      <c r="Q1074">
        <v>-13.02211</v>
      </c>
      <c r="R1074">
        <v>-34664700</v>
      </c>
      <c r="S1074">
        <v>6.9900000000000004E-2</v>
      </c>
    </row>
    <row r="1075" spans="1:19" x14ac:dyDescent="0.2">
      <c r="A1075" t="s">
        <v>100</v>
      </c>
      <c r="B1075" t="s">
        <v>82</v>
      </c>
      <c r="C1075">
        <v>2022</v>
      </c>
      <c r="D1075">
        <v>259411734</v>
      </c>
      <c r="F1075">
        <v>173293020</v>
      </c>
      <c r="H1075">
        <v>29292678</v>
      </c>
      <c r="J1075">
        <v>561073968.41094804</v>
      </c>
      <c r="M1075">
        <v>202585698</v>
      </c>
      <c r="N1075">
        <v>37.1793889236491</v>
      </c>
      <c r="P1075">
        <v>5.6564199999999998</v>
      </c>
      <c r="Q1075">
        <v>-14.03631</v>
      </c>
      <c r="R1075">
        <v>-17550142.974599998</v>
      </c>
      <c r="S1075">
        <v>0.13519999999999999</v>
      </c>
    </row>
    <row r="1076" spans="1:19" x14ac:dyDescent="0.2">
      <c r="A1076" t="s">
        <v>100</v>
      </c>
      <c r="B1076" t="s">
        <v>82</v>
      </c>
      <c r="C1076">
        <v>2023</v>
      </c>
      <c r="D1076">
        <v>298914560</v>
      </c>
      <c r="F1076">
        <v>171742720</v>
      </c>
      <c r="H1076">
        <v>56437760</v>
      </c>
      <c r="J1076">
        <v>526485323.03138399</v>
      </c>
      <c r="M1076">
        <v>228180480</v>
      </c>
      <c r="N1076">
        <v>43.326113827381903</v>
      </c>
      <c r="P1076">
        <v>-23.274699999999999</v>
      </c>
      <c r="Q1076">
        <v>-38.903919999999999</v>
      </c>
      <c r="R1076">
        <v>-42052500</v>
      </c>
      <c r="S1076">
        <v>0.21260000000000001</v>
      </c>
    </row>
    <row r="1077" spans="1:19" x14ac:dyDescent="0.2">
      <c r="A1077" t="s">
        <v>100</v>
      </c>
      <c r="B1077" t="s">
        <v>82</v>
      </c>
      <c r="C1077">
        <v>2024</v>
      </c>
      <c r="D1077">
        <v>500999277</v>
      </c>
      <c r="F1077">
        <v>320588794</v>
      </c>
      <c r="H1077">
        <v>69228332</v>
      </c>
      <c r="J1077">
        <v>128292522.227984</v>
      </c>
      <c r="M1077">
        <v>389817126</v>
      </c>
      <c r="N1077">
        <v>41.414042943883402</v>
      </c>
      <c r="P1077">
        <v>-11.36364</v>
      </c>
      <c r="Q1077">
        <v>-20.454550000000001</v>
      </c>
      <c r="R1077">
        <v>-70967820</v>
      </c>
      <c r="S1077">
        <v>0</v>
      </c>
    </row>
    <row r="1078" spans="1:19" x14ac:dyDescent="0.2">
      <c r="A1078" t="s">
        <v>100</v>
      </c>
      <c r="B1078" t="s">
        <v>82</v>
      </c>
      <c r="C1078">
        <v>2025</v>
      </c>
      <c r="D1078">
        <v>166231390</v>
      </c>
      <c r="F1078">
        <v>403456430</v>
      </c>
      <c r="H1078">
        <v>-365206790</v>
      </c>
      <c r="J1078">
        <v>36751591.199105203</v>
      </c>
      <c r="M1078">
        <v>38249640</v>
      </c>
      <c r="N1078">
        <v>41.414042943883402</v>
      </c>
      <c r="P1078">
        <v>-12.14489</v>
      </c>
      <c r="Q1078">
        <v>-20.170449999999999</v>
      </c>
      <c r="R1078">
        <v>-167072580</v>
      </c>
      <c r="S1078">
        <v>0</v>
      </c>
    </row>
    <row r="1079" spans="1:19" x14ac:dyDescent="0.2">
      <c r="A1079" t="s">
        <v>110</v>
      </c>
      <c r="B1079" t="s">
        <v>83</v>
      </c>
      <c r="C1079">
        <v>2005</v>
      </c>
      <c r="D1079">
        <v>1114000</v>
      </c>
      <c r="F1079">
        <v>546000</v>
      </c>
      <c r="H1079">
        <v>326000</v>
      </c>
      <c r="J1079" t="s">
        <v>18</v>
      </c>
      <c r="M1079">
        <v>872000</v>
      </c>
      <c r="N1079" t="s">
        <v>18</v>
      </c>
      <c r="P1079">
        <v>51.589239999999997</v>
      </c>
      <c r="Q1079">
        <v>50.122250000000001</v>
      </c>
      <c r="R1079" t="s">
        <v>18</v>
      </c>
      <c r="S1079" t="s">
        <v>18</v>
      </c>
    </row>
    <row r="1080" spans="1:19" x14ac:dyDescent="0.2">
      <c r="A1080" t="s">
        <v>110</v>
      </c>
      <c r="B1080" t="s">
        <v>83</v>
      </c>
      <c r="C1080">
        <v>2006</v>
      </c>
      <c r="D1080">
        <v>4522000</v>
      </c>
      <c r="F1080">
        <v>1874000</v>
      </c>
      <c r="H1080">
        <v>825000</v>
      </c>
      <c r="J1080" t="s">
        <v>18</v>
      </c>
      <c r="M1080">
        <v>2699000</v>
      </c>
      <c r="N1080" t="s">
        <v>18</v>
      </c>
      <c r="P1080">
        <v>87.870239999999995</v>
      </c>
      <c r="Q1080">
        <v>74.188999999999993</v>
      </c>
      <c r="R1080" t="s">
        <v>18</v>
      </c>
      <c r="S1080" t="s">
        <v>18</v>
      </c>
    </row>
    <row r="1081" spans="1:19" x14ac:dyDescent="0.2">
      <c r="A1081" t="s">
        <v>110</v>
      </c>
      <c r="B1081" t="s">
        <v>83</v>
      </c>
      <c r="C1081">
        <v>2007</v>
      </c>
      <c r="D1081">
        <v>39698000</v>
      </c>
      <c r="F1081">
        <v>16739493</v>
      </c>
      <c r="H1081">
        <v>6330000</v>
      </c>
      <c r="J1081">
        <v>2172630407.1599998</v>
      </c>
      <c r="M1081">
        <v>23069493</v>
      </c>
      <c r="N1081" t="s">
        <v>18</v>
      </c>
      <c r="P1081">
        <v>45.021149999999999</v>
      </c>
      <c r="Q1081">
        <v>43.924599999999998</v>
      </c>
      <c r="R1081" t="s">
        <v>18</v>
      </c>
      <c r="S1081" t="s">
        <v>18</v>
      </c>
    </row>
    <row r="1082" spans="1:19" x14ac:dyDescent="0.2">
      <c r="A1082" t="s">
        <v>110</v>
      </c>
      <c r="B1082" t="s">
        <v>83</v>
      </c>
      <c r="C1082">
        <v>2008</v>
      </c>
      <c r="D1082">
        <v>404984000</v>
      </c>
      <c r="F1082">
        <v>56936000</v>
      </c>
      <c r="H1082">
        <v>261196000</v>
      </c>
      <c r="J1082">
        <v>193190133.97</v>
      </c>
      <c r="M1082">
        <v>318132000</v>
      </c>
      <c r="N1082" t="s">
        <v>18</v>
      </c>
      <c r="P1082">
        <v>40.089770000000001</v>
      </c>
      <c r="Q1082">
        <v>39.750459999999997</v>
      </c>
      <c r="R1082">
        <v>62938000</v>
      </c>
      <c r="S1082" t="s">
        <v>18</v>
      </c>
    </row>
    <row r="1083" spans="1:19" x14ac:dyDescent="0.2">
      <c r="A1083" t="s">
        <v>110</v>
      </c>
      <c r="B1083" t="s">
        <v>83</v>
      </c>
      <c r="C1083">
        <v>2009</v>
      </c>
      <c r="D1083">
        <v>388947000</v>
      </c>
      <c r="F1083">
        <v>93078000</v>
      </c>
      <c r="H1083">
        <v>233881000</v>
      </c>
      <c r="J1083">
        <v>255395334.17500001</v>
      </c>
      <c r="M1083">
        <v>326959000</v>
      </c>
      <c r="N1083" t="s">
        <v>18</v>
      </c>
      <c r="P1083">
        <v>-2.0446399999999998</v>
      </c>
      <c r="Q1083">
        <v>-3.5874999999999999</v>
      </c>
      <c r="R1083">
        <v>79995560</v>
      </c>
      <c r="S1083" t="s">
        <v>18</v>
      </c>
    </row>
    <row r="1084" spans="1:19" x14ac:dyDescent="0.2">
      <c r="A1084" t="s">
        <v>110</v>
      </c>
      <c r="B1084" t="s">
        <v>83</v>
      </c>
      <c r="C1084">
        <v>2010</v>
      </c>
      <c r="D1084">
        <v>329009000</v>
      </c>
      <c r="F1084">
        <v>64225000</v>
      </c>
      <c r="H1084">
        <v>229258000</v>
      </c>
      <c r="J1084">
        <v>144573746.40000001</v>
      </c>
      <c r="M1084">
        <v>293483000</v>
      </c>
      <c r="N1084" t="s">
        <v>18</v>
      </c>
      <c r="P1084">
        <v>7.9735199999999997</v>
      </c>
      <c r="Q1084">
        <v>3.10873</v>
      </c>
      <c r="R1084">
        <v>12701200</v>
      </c>
      <c r="S1084" t="s">
        <v>18</v>
      </c>
    </row>
    <row r="1085" spans="1:19" x14ac:dyDescent="0.2">
      <c r="A1085" t="s">
        <v>110</v>
      </c>
      <c r="B1085" t="s">
        <v>83</v>
      </c>
      <c r="C1085">
        <v>2011</v>
      </c>
      <c r="D1085">
        <v>442647000</v>
      </c>
      <c r="F1085">
        <v>131488000</v>
      </c>
      <c r="H1085">
        <v>232393000</v>
      </c>
      <c r="J1085">
        <v>96216320.879999995</v>
      </c>
      <c r="M1085">
        <v>363881000</v>
      </c>
      <c r="N1085" t="s">
        <v>18</v>
      </c>
      <c r="P1085">
        <v>11.30086</v>
      </c>
      <c r="Q1085">
        <v>5.5103200000000001</v>
      </c>
      <c r="R1085">
        <v>12767330</v>
      </c>
      <c r="S1085" t="s">
        <v>18</v>
      </c>
    </row>
    <row r="1086" spans="1:19" x14ac:dyDescent="0.2">
      <c r="A1086" t="s">
        <v>110</v>
      </c>
      <c r="B1086" t="s">
        <v>83</v>
      </c>
      <c r="C1086">
        <v>2012</v>
      </c>
      <c r="D1086">
        <v>339520000</v>
      </c>
      <c r="F1086">
        <v>145133000</v>
      </c>
      <c r="H1086">
        <v>126900000</v>
      </c>
      <c r="J1086">
        <v>69794222.400000006</v>
      </c>
      <c r="M1086">
        <v>272033000</v>
      </c>
      <c r="N1086" t="s">
        <v>18</v>
      </c>
      <c r="P1086">
        <v>-29.73358</v>
      </c>
      <c r="Q1086">
        <v>-37.009459999999997</v>
      </c>
      <c r="R1086">
        <v>12500000</v>
      </c>
      <c r="S1086" t="s">
        <v>18</v>
      </c>
    </row>
    <row r="1087" spans="1:19" x14ac:dyDescent="0.2">
      <c r="A1087" t="s">
        <v>110</v>
      </c>
      <c r="B1087" t="s">
        <v>83</v>
      </c>
      <c r="C1087">
        <v>2013</v>
      </c>
      <c r="D1087">
        <v>312355000</v>
      </c>
      <c r="F1087">
        <v>152135000</v>
      </c>
      <c r="H1087">
        <v>96829000</v>
      </c>
      <c r="J1087">
        <v>76275114.480000004</v>
      </c>
      <c r="M1087">
        <v>248964000</v>
      </c>
      <c r="N1087" t="s">
        <v>18</v>
      </c>
      <c r="P1087">
        <v>-4.9265499999999998</v>
      </c>
      <c r="Q1087">
        <v>-36.533900000000003</v>
      </c>
      <c r="R1087" t="s">
        <v>18</v>
      </c>
      <c r="S1087" t="s">
        <v>18</v>
      </c>
    </row>
    <row r="1088" spans="1:19" x14ac:dyDescent="0.2">
      <c r="A1088" t="s">
        <v>110</v>
      </c>
      <c r="B1088" t="s">
        <v>83</v>
      </c>
      <c r="C1088">
        <v>2014</v>
      </c>
      <c r="D1088">
        <v>194035000</v>
      </c>
      <c r="F1088">
        <v>116714000</v>
      </c>
      <c r="H1088">
        <v>19773000</v>
      </c>
      <c r="J1088">
        <v>72580101.299999997</v>
      </c>
      <c r="M1088">
        <v>136487000</v>
      </c>
      <c r="N1088" t="s">
        <v>18</v>
      </c>
      <c r="P1088">
        <v>-15.98052</v>
      </c>
      <c r="Q1088">
        <v>-43.343380000000003</v>
      </c>
      <c r="R1088" t="s">
        <v>18</v>
      </c>
      <c r="S1088" t="s">
        <v>18</v>
      </c>
    </row>
    <row r="1089" spans="1:19" x14ac:dyDescent="0.2">
      <c r="A1089" t="s">
        <v>110</v>
      </c>
      <c r="B1089" t="s">
        <v>83</v>
      </c>
      <c r="C1089">
        <v>2015</v>
      </c>
      <c r="D1089">
        <v>195791000</v>
      </c>
      <c r="F1089">
        <v>114020000</v>
      </c>
      <c r="H1089">
        <v>25971000</v>
      </c>
      <c r="J1089">
        <v>77272252.560000002</v>
      </c>
      <c r="M1089">
        <v>139991000</v>
      </c>
      <c r="N1089" t="s">
        <v>18</v>
      </c>
      <c r="P1089">
        <v>42.173180000000002</v>
      </c>
      <c r="Q1089">
        <v>11.042770000000001</v>
      </c>
      <c r="R1089" t="s">
        <v>18</v>
      </c>
      <c r="S1089" t="s">
        <v>18</v>
      </c>
    </row>
    <row r="1090" spans="1:19" x14ac:dyDescent="0.2">
      <c r="A1090" t="s">
        <v>110</v>
      </c>
      <c r="B1090" t="s">
        <v>83</v>
      </c>
      <c r="C1090">
        <v>2016</v>
      </c>
      <c r="D1090">
        <v>171818000</v>
      </c>
      <c r="F1090">
        <v>106313000</v>
      </c>
      <c r="H1090">
        <v>40656000</v>
      </c>
      <c r="J1090">
        <v>83848614.480000004</v>
      </c>
      <c r="M1090">
        <v>146969000</v>
      </c>
      <c r="N1090" t="s">
        <v>18</v>
      </c>
      <c r="P1090">
        <v>54.508620000000001</v>
      </c>
      <c r="Q1090">
        <v>12.13184</v>
      </c>
      <c r="R1090" t="s">
        <v>18</v>
      </c>
      <c r="S1090">
        <v>100</v>
      </c>
    </row>
    <row r="1091" spans="1:19" x14ac:dyDescent="0.2">
      <c r="A1091" t="s">
        <v>110</v>
      </c>
      <c r="B1091" t="s">
        <v>83</v>
      </c>
      <c r="C1091">
        <v>2017</v>
      </c>
      <c r="D1091">
        <v>252269000</v>
      </c>
      <c r="F1091">
        <v>178680000</v>
      </c>
      <c r="H1091">
        <v>40292000</v>
      </c>
      <c r="J1091">
        <v>178657832.16</v>
      </c>
      <c r="M1091">
        <v>218972000</v>
      </c>
      <c r="N1091" t="s">
        <v>18</v>
      </c>
      <c r="P1091">
        <v>81.547520000000006</v>
      </c>
      <c r="Q1091">
        <v>36.480870000000003</v>
      </c>
      <c r="R1091" t="s">
        <v>18</v>
      </c>
      <c r="S1091">
        <v>100</v>
      </c>
    </row>
    <row r="1092" spans="1:19" x14ac:dyDescent="0.2">
      <c r="A1092" t="s">
        <v>110</v>
      </c>
      <c r="B1092" t="s">
        <v>83</v>
      </c>
      <c r="C1092">
        <v>2018</v>
      </c>
      <c r="D1092">
        <v>280887000</v>
      </c>
      <c r="F1092">
        <v>217295000</v>
      </c>
      <c r="H1092">
        <v>55698000</v>
      </c>
      <c r="J1092">
        <v>495430223.33999997</v>
      </c>
      <c r="M1092">
        <v>272993000</v>
      </c>
      <c r="N1092" t="s">
        <v>18</v>
      </c>
      <c r="P1092">
        <v>83.838840000000005</v>
      </c>
      <c r="Q1092">
        <v>47.564579999999999</v>
      </c>
      <c r="R1092">
        <v>15000000</v>
      </c>
      <c r="S1092">
        <v>99.572900000000004</v>
      </c>
    </row>
    <row r="1093" spans="1:19" x14ac:dyDescent="0.2">
      <c r="A1093" t="s">
        <v>110</v>
      </c>
      <c r="B1093" t="s">
        <v>83</v>
      </c>
      <c r="C1093">
        <v>2019</v>
      </c>
      <c r="D1093">
        <v>394670000</v>
      </c>
      <c r="F1093">
        <v>215712000</v>
      </c>
      <c r="H1093">
        <v>170914000</v>
      </c>
      <c r="J1093">
        <v>849665956.79999995</v>
      </c>
      <c r="M1093">
        <v>386626000</v>
      </c>
      <c r="N1093">
        <v>16.075233127842701</v>
      </c>
      <c r="P1093">
        <v>84.661600000000007</v>
      </c>
      <c r="Q1093">
        <v>44.325409999999998</v>
      </c>
      <c r="R1093">
        <v>20327500</v>
      </c>
      <c r="S1093">
        <v>99.572999999999993</v>
      </c>
    </row>
    <row r="1094" spans="1:19" x14ac:dyDescent="0.2">
      <c r="A1094" t="s">
        <v>110</v>
      </c>
      <c r="B1094" t="s">
        <v>83</v>
      </c>
      <c r="C1094">
        <v>2020</v>
      </c>
      <c r="D1094">
        <v>600526000</v>
      </c>
      <c r="F1094">
        <v>352301000</v>
      </c>
      <c r="H1094">
        <v>193258000</v>
      </c>
      <c r="J1094">
        <v>2953838708.6399999</v>
      </c>
      <c r="M1094">
        <v>545559000</v>
      </c>
      <c r="N1094">
        <v>17.417661766297599</v>
      </c>
      <c r="P1094">
        <v>89.971050000000005</v>
      </c>
      <c r="Q1094">
        <v>48.691369999999999</v>
      </c>
      <c r="R1094">
        <v>20036000</v>
      </c>
      <c r="S1094">
        <v>99.572999999999993</v>
      </c>
    </row>
    <row r="1095" spans="1:19" x14ac:dyDescent="0.2">
      <c r="A1095" t="s">
        <v>110</v>
      </c>
      <c r="B1095" t="s">
        <v>83</v>
      </c>
      <c r="C1095">
        <v>2021</v>
      </c>
      <c r="D1095">
        <v>715507000</v>
      </c>
      <c r="F1095">
        <v>420316000</v>
      </c>
      <c r="H1095">
        <v>222514000</v>
      </c>
      <c r="J1095">
        <v>2139158997.1199999</v>
      </c>
      <c r="M1095">
        <v>642830000</v>
      </c>
      <c r="N1095">
        <v>47.700320133455797</v>
      </c>
      <c r="P1095">
        <v>90.984870000000001</v>
      </c>
      <c r="Q1095">
        <v>62.116549999999997</v>
      </c>
      <c r="R1095">
        <v>35861300</v>
      </c>
      <c r="S1095">
        <v>99.572900000000004</v>
      </c>
    </row>
    <row r="1096" spans="1:19" x14ac:dyDescent="0.2">
      <c r="A1096" t="s">
        <v>110</v>
      </c>
      <c r="B1096" t="s">
        <v>83</v>
      </c>
      <c r="C1096">
        <v>2022</v>
      </c>
      <c r="D1096">
        <v>1042752000</v>
      </c>
      <c r="F1096">
        <v>667802000</v>
      </c>
      <c r="H1096">
        <v>247355000</v>
      </c>
      <c r="J1096">
        <v>2139158997.1199999</v>
      </c>
      <c r="M1096">
        <v>915157000</v>
      </c>
      <c r="N1096">
        <v>52.904958035559702</v>
      </c>
      <c r="P1096">
        <v>98.224469999999997</v>
      </c>
      <c r="Q1096">
        <v>76.785529999999994</v>
      </c>
      <c r="R1096">
        <v>67189740</v>
      </c>
      <c r="S1096">
        <v>100</v>
      </c>
    </row>
    <row r="1097" spans="1:19" x14ac:dyDescent="0.2">
      <c r="A1097" t="s">
        <v>110</v>
      </c>
      <c r="B1097" t="s">
        <v>83</v>
      </c>
      <c r="C1097">
        <v>2023</v>
      </c>
      <c r="D1097">
        <v>1426958000</v>
      </c>
      <c r="F1097">
        <v>881551000</v>
      </c>
      <c r="H1097">
        <v>343288000</v>
      </c>
      <c r="J1097">
        <v>2325335802.3600001</v>
      </c>
      <c r="M1097">
        <v>1226279000</v>
      </c>
      <c r="N1097">
        <v>53.5275103581493</v>
      </c>
      <c r="P1097">
        <v>105.6045</v>
      </c>
      <c r="Q1097">
        <v>87.663070000000005</v>
      </c>
      <c r="R1097">
        <v>125810970</v>
      </c>
      <c r="S1097">
        <v>100</v>
      </c>
    </row>
    <row r="1098" spans="1:19" x14ac:dyDescent="0.2">
      <c r="A1098" t="s">
        <v>110</v>
      </c>
      <c r="B1098" t="s">
        <v>83</v>
      </c>
      <c r="C1098">
        <v>2024</v>
      </c>
      <c r="D1098">
        <v>1648922000</v>
      </c>
      <c r="F1098">
        <v>1060051000</v>
      </c>
      <c r="H1098">
        <v>522918000</v>
      </c>
      <c r="J1098">
        <v>976491095.94000006</v>
      </c>
      <c r="M1098">
        <v>1584169000</v>
      </c>
      <c r="N1098">
        <v>54.966690629830097</v>
      </c>
      <c r="P1098">
        <v>104.47152</v>
      </c>
      <c r="Q1098">
        <v>88.019670000000005</v>
      </c>
      <c r="R1098">
        <v>163289930</v>
      </c>
      <c r="S1098">
        <v>100</v>
      </c>
    </row>
    <row r="1099" spans="1:19" x14ac:dyDescent="0.2">
      <c r="A1099" t="s">
        <v>110</v>
      </c>
      <c r="B1099" t="s">
        <v>83</v>
      </c>
      <c r="C1099">
        <v>2025</v>
      </c>
      <c r="D1099">
        <v>1968642000</v>
      </c>
      <c r="F1099">
        <v>1147432000</v>
      </c>
      <c r="H1099">
        <v>613886000</v>
      </c>
      <c r="J1099">
        <v>2267858399.4000001</v>
      </c>
      <c r="M1099">
        <v>1765268000</v>
      </c>
      <c r="N1099">
        <v>54.966690629830097</v>
      </c>
      <c r="P1099">
        <v>97.411050000000003</v>
      </c>
      <c r="Q1099">
        <v>72.733540000000005</v>
      </c>
      <c r="R1099">
        <v>144341500</v>
      </c>
      <c r="S1099">
        <v>100</v>
      </c>
    </row>
    <row r="1100" spans="1:19" x14ac:dyDescent="0.2">
      <c r="A1100" t="s">
        <v>108</v>
      </c>
      <c r="B1100" t="s">
        <v>84</v>
      </c>
      <c r="C1100">
        <v>2005</v>
      </c>
      <c r="D1100" t="s">
        <v>18</v>
      </c>
      <c r="F1100" t="s">
        <v>18</v>
      </c>
      <c r="H1100" t="s">
        <v>18</v>
      </c>
      <c r="J1100" t="s">
        <v>18</v>
      </c>
      <c r="M1100" t="s">
        <v>18</v>
      </c>
      <c r="N1100" t="s">
        <v>18</v>
      </c>
      <c r="P1100" t="s">
        <v>18</v>
      </c>
      <c r="Q1100" t="s">
        <v>18</v>
      </c>
      <c r="R1100" t="s">
        <v>18</v>
      </c>
      <c r="S1100" t="s">
        <v>18</v>
      </c>
    </row>
    <row r="1101" spans="1:19" x14ac:dyDescent="0.2">
      <c r="A1101" t="s">
        <v>108</v>
      </c>
      <c r="B1101" t="s">
        <v>84</v>
      </c>
      <c r="C1101">
        <v>2006</v>
      </c>
      <c r="D1101" t="s">
        <v>18</v>
      </c>
      <c r="F1101" t="s">
        <v>18</v>
      </c>
      <c r="H1101" t="s">
        <v>18</v>
      </c>
      <c r="J1101" t="s">
        <v>18</v>
      </c>
      <c r="M1101" t="s">
        <v>18</v>
      </c>
      <c r="N1101" t="s">
        <v>18</v>
      </c>
      <c r="P1101" t="s">
        <v>18</v>
      </c>
      <c r="Q1101" t="s">
        <v>18</v>
      </c>
      <c r="R1101" t="s">
        <v>18</v>
      </c>
      <c r="S1101" t="s">
        <v>18</v>
      </c>
    </row>
    <row r="1102" spans="1:19" x14ac:dyDescent="0.2">
      <c r="A1102" t="s">
        <v>108</v>
      </c>
      <c r="B1102" t="s">
        <v>84</v>
      </c>
      <c r="C1102">
        <v>2007</v>
      </c>
      <c r="D1102">
        <v>112340000</v>
      </c>
      <c r="F1102">
        <v>25332000</v>
      </c>
      <c r="H1102">
        <v>40720000</v>
      </c>
      <c r="J1102" t="s">
        <v>18</v>
      </c>
      <c r="M1102">
        <v>66052000</v>
      </c>
      <c r="N1102" t="s">
        <v>18</v>
      </c>
      <c r="P1102">
        <v>19.645040000000002</v>
      </c>
      <c r="Q1102">
        <v>14.88565</v>
      </c>
      <c r="R1102" t="s">
        <v>18</v>
      </c>
      <c r="S1102" t="s">
        <v>18</v>
      </c>
    </row>
    <row r="1103" spans="1:19" x14ac:dyDescent="0.2">
      <c r="A1103" t="s">
        <v>108</v>
      </c>
      <c r="B1103" t="s">
        <v>84</v>
      </c>
      <c r="C1103">
        <v>2008</v>
      </c>
      <c r="D1103">
        <v>163231000</v>
      </c>
      <c r="F1103">
        <v>23240000</v>
      </c>
      <c r="H1103">
        <v>64437000</v>
      </c>
      <c r="J1103">
        <v>1301250000</v>
      </c>
      <c r="M1103">
        <v>87677000</v>
      </c>
      <c r="N1103" t="s">
        <v>18</v>
      </c>
      <c r="P1103">
        <v>22.99634</v>
      </c>
      <c r="Q1103">
        <v>18.112719999999999</v>
      </c>
      <c r="R1103" t="s">
        <v>18</v>
      </c>
      <c r="S1103">
        <v>99.752399999999994</v>
      </c>
    </row>
    <row r="1104" spans="1:19" x14ac:dyDescent="0.2">
      <c r="A1104" t="s">
        <v>108</v>
      </c>
      <c r="B1104" t="s">
        <v>84</v>
      </c>
      <c r="C1104">
        <v>2009</v>
      </c>
      <c r="D1104">
        <v>469559000</v>
      </c>
      <c r="F1104">
        <v>43034000</v>
      </c>
      <c r="H1104">
        <v>280757000</v>
      </c>
      <c r="J1104">
        <v>3235775000</v>
      </c>
      <c r="M1104">
        <v>323791000</v>
      </c>
      <c r="N1104" t="s">
        <v>18</v>
      </c>
      <c r="P1104">
        <v>22.150670000000002</v>
      </c>
      <c r="Q1104">
        <v>20.860749999999999</v>
      </c>
      <c r="R1104">
        <v>157652380</v>
      </c>
      <c r="S1104">
        <v>98.678200000000004</v>
      </c>
    </row>
    <row r="1105" spans="1:19" x14ac:dyDescent="0.2">
      <c r="A1105" t="s">
        <v>108</v>
      </c>
      <c r="B1105" t="s">
        <v>84</v>
      </c>
      <c r="C1105">
        <v>2010</v>
      </c>
      <c r="D1105">
        <v>718650000</v>
      </c>
      <c r="F1105">
        <v>40354000</v>
      </c>
      <c r="H1105">
        <v>407587000</v>
      </c>
      <c r="J1105">
        <v>2411650000</v>
      </c>
      <c r="M1105">
        <v>447941000</v>
      </c>
      <c r="N1105" t="s">
        <v>18</v>
      </c>
      <c r="P1105">
        <v>24.479009999999999</v>
      </c>
      <c r="Q1105">
        <v>22.73068</v>
      </c>
      <c r="R1105">
        <v>221654000</v>
      </c>
      <c r="S1105">
        <v>99.109399999999994</v>
      </c>
    </row>
    <row r="1106" spans="1:19" x14ac:dyDescent="0.2">
      <c r="A1106" t="s">
        <v>108</v>
      </c>
      <c r="B1106" t="s">
        <v>84</v>
      </c>
      <c r="C1106">
        <v>2011</v>
      </c>
      <c r="D1106">
        <v>1251448000</v>
      </c>
      <c r="F1106">
        <v>21210000</v>
      </c>
      <c r="H1106">
        <v>728408000</v>
      </c>
      <c r="J1106">
        <v>1497825500</v>
      </c>
      <c r="M1106">
        <v>749620000</v>
      </c>
      <c r="N1106" t="s">
        <v>18</v>
      </c>
      <c r="P1106">
        <v>28.426390000000001</v>
      </c>
      <c r="Q1106">
        <v>26.684989999999999</v>
      </c>
      <c r="R1106">
        <v>504362750</v>
      </c>
      <c r="S1106">
        <v>98.463899999999995</v>
      </c>
    </row>
    <row r="1107" spans="1:19" x14ac:dyDescent="0.2">
      <c r="A1107" t="s">
        <v>108</v>
      </c>
      <c r="B1107" t="s">
        <v>84</v>
      </c>
      <c r="C1107">
        <v>2012</v>
      </c>
      <c r="D1107">
        <v>1374262000</v>
      </c>
      <c r="F1107">
        <v>33896000</v>
      </c>
      <c r="H1107">
        <v>789304000</v>
      </c>
      <c r="J1107">
        <v>659647000</v>
      </c>
      <c r="M1107">
        <v>823202000</v>
      </c>
      <c r="N1107" t="s">
        <v>18</v>
      </c>
      <c r="P1107">
        <v>17.26408</v>
      </c>
      <c r="Q1107">
        <v>14.25867</v>
      </c>
      <c r="R1107">
        <v>248203050</v>
      </c>
      <c r="S1107">
        <v>97.919200000000004</v>
      </c>
    </row>
    <row r="1108" spans="1:19" x14ac:dyDescent="0.2">
      <c r="A1108" t="s">
        <v>108</v>
      </c>
      <c r="B1108" t="s">
        <v>84</v>
      </c>
      <c r="C1108">
        <v>2013</v>
      </c>
      <c r="D1108">
        <v>1328676000</v>
      </c>
      <c r="F1108">
        <v>35563000</v>
      </c>
      <c r="H1108">
        <v>820661000</v>
      </c>
      <c r="J1108">
        <v>796712000</v>
      </c>
      <c r="M1108">
        <v>856226000</v>
      </c>
      <c r="N1108" t="s">
        <v>18</v>
      </c>
      <c r="P1108">
        <v>11.841760000000001</v>
      </c>
      <c r="Q1108">
        <v>7.0634600000000001</v>
      </c>
      <c r="R1108">
        <v>120383330</v>
      </c>
      <c r="S1108">
        <v>98.096500000000006</v>
      </c>
    </row>
    <row r="1109" spans="1:19" x14ac:dyDescent="0.2">
      <c r="A1109" t="s">
        <v>108</v>
      </c>
      <c r="B1109" t="s">
        <v>84</v>
      </c>
      <c r="C1109">
        <v>2014</v>
      </c>
      <c r="D1109">
        <v>1259942000</v>
      </c>
      <c r="F1109">
        <v>73379000</v>
      </c>
      <c r="H1109">
        <v>724263000</v>
      </c>
      <c r="J1109">
        <v>530910000</v>
      </c>
      <c r="M1109">
        <v>797805000</v>
      </c>
      <c r="N1109" t="s">
        <v>18</v>
      </c>
      <c r="P1109">
        <v>-0.59033000000000002</v>
      </c>
      <c r="Q1109">
        <v>-9.5596599999999992</v>
      </c>
      <c r="R1109">
        <v>-72046670</v>
      </c>
      <c r="S1109">
        <v>98.230699999999999</v>
      </c>
    </row>
    <row r="1110" spans="1:19" x14ac:dyDescent="0.2">
      <c r="A1110" t="s">
        <v>108</v>
      </c>
      <c r="B1110" t="s">
        <v>84</v>
      </c>
      <c r="C1110">
        <v>2015</v>
      </c>
      <c r="D1110">
        <v>1180268000</v>
      </c>
      <c r="F1110">
        <v>69355000</v>
      </c>
      <c r="H1110">
        <v>551975000</v>
      </c>
      <c r="J1110">
        <v>1794684000</v>
      </c>
      <c r="M1110">
        <v>621317000</v>
      </c>
      <c r="N1110" t="s">
        <v>18</v>
      </c>
      <c r="P1110">
        <v>-8.0645100000000003</v>
      </c>
      <c r="Q1110">
        <v>-21.285900000000002</v>
      </c>
      <c r="R1110">
        <v>-118594130</v>
      </c>
      <c r="S1110">
        <v>94.767899999999997</v>
      </c>
    </row>
    <row r="1111" spans="1:19" x14ac:dyDescent="0.2">
      <c r="A1111" t="s">
        <v>108</v>
      </c>
      <c r="B1111" t="s">
        <v>84</v>
      </c>
      <c r="C1111">
        <v>2016</v>
      </c>
      <c r="D1111">
        <v>1160463000</v>
      </c>
      <c r="F1111">
        <v>46923000</v>
      </c>
      <c r="H1111">
        <v>570234000</v>
      </c>
      <c r="J1111">
        <v>871490500</v>
      </c>
      <c r="M1111">
        <v>617131000</v>
      </c>
      <c r="N1111" t="s">
        <v>18</v>
      </c>
      <c r="P1111">
        <v>11.972300000000001</v>
      </c>
      <c r="Q1111">
        <v>3.9264999999999999</v>
      </c>
      <c r="R1111">
        <v>30720290</v>
      </c>
      <c r="S1111">
        <v>100</v>
      </c>
    </row>
    <row r="1112" spans="1:19" x14ac:dyDescent="0.2">
      <c r="A1112" t="s">
        <v>108</v>
      </c>
      <c r="B1112" t="s">
        <v>84</v>
      </c>
      <c r="C1112">
        <v>2017</v>
      </c>
      <c r="D1112">
        <v>1210764000</v>
      </c>
      <c r="F1112">
        <v>40349000</v>
      </c>
      <c r="H1112">
        <v>585112000</v>
      </c>
      <c r="J1112">
        <v>1249026500</v>
      </c>
      <c r="M1112">
        <v>625461000</v>
      </c>
      <c r="N1112" t="s">
        <v>18</v>
      </c>
      <c r="P1112">
        <v>14.78093</v>
      </c>
      <c r="Q1112">
        <v>6.6765699999999999</v>
      </c>
      <c r="R1112">
        <v>65368380</v>
      </c>
      <c r="S1112">
        <v>100</v>
      </c>
    </row>
    <row r="1113" spans="1:19" x14ac:dyDescent="0.2">
      <c r="A1113" t="s">
        <v>108</v>
      </c>
      <c r="B1113" t="s">
        <v>84</v>
      </c>
      <c r="C1113">
        <v>2018</v>
      </c>
      <c r="D1113">
        <v>1216208000</v>
      </c>
      <c r="F1113">
        <v>20820000</v>
      </c>
      <c r="H1113">
        <v>611516000</v>
      </c>
      <c r="J1113">
        <v>575673000</v>
      </c>
      <c r="M1113">
        <v>632336000</v>
      </c>
      <c r="N1113">
        <v>66.357445231091106</v>
      </c>
      <c r="P1113">
        <v>11.44666</v>
      </c>
      <c r="Q1113">
        <v>5.4763700000000002</v>
      </c>
      <c r="R1113">
        <v>36933330</v>
      </c>
      <c r="S1113">
        <v>100</v>
      </c>
    </row>
    <row r="1114" spans="1:19" x14ac:dyDescent="0.2">
      <c r="A1114" t="s">
        <v>108</v>
      </c>
      <c r="B1114" t="s">
        <v>84</v>
      </c>
      <c r="C1114">
        <v>2019</v>
      </c>
      <c r="D1114">
        <v>989269000</v>
      </c>
      <c r="F1114">
        <v>18033000</v>
      </c>
      <c r="H1114">
        <v>424482000</v>
      </c>
      <c r="J1114">
        <v>1199232000</v>
      </c>
      <c r="M1114">
        <v>442515000</v>
      </c>
      <c r="N1114">
        <v>63.255498060685198</v>
      </c>
      <c r="P1114">
        <v>1.932E-2</v>
      </c>
      <c r="Q1114">
        <v>-10.698689999999999</v>
      </c>
      <c r="R1114">
        <v>-73000000</v>
      </c>
      <c r="S1114">
        <v>100</v>
      </c>
    </row>
    <row r="1115" spans="1:19" x14ac:dyDescent="0.2">
      <c r="A1115" t="s">
        <v>108</v>
      </c>
      <c r="B1115" t="s">
        <v>84</v>
      </c>
      <c r="C1115">
        <v>2020</v>
      </c>
      <c r="D1115">
        <v>1107318000</v>
      </c>
      <c r="F1115">
        <v>34233000</v>
      </c>
      <c r="H1115">
        <v>416893000</v>
      </c>
      <c r="J1115">
        <v>1941465000</v>
      </c>
      <c r="M1115">
        <v>451126000</v>
      </c>
      <c r="N1115">
        <v>63.930858287430702</v>
      </c>
      <c r="P1115">
        <v>2.0796199999999998</v>
      </c>
      <c r="Q1115">
        <v>-2.9432800000000001</v>
      </c>
      <c r="R1115">
        <v>-11073000</v>
      </c>
      <c r="S1115">
        <v>100</v>
      </c>
    </row>
    <row r="1116" spans="1:19" x14ac:dyDescent="0.2">
      <c r="A1116" t="s">
        <v>108</v>
      </c>
      <c r="B1116" t="s">
        <v>84</v>
      </c>
      <c r="C1116">
        <v>2021</v>
      </c>
      <c r="D1116">
        <v>1051195000</v>
      </c>
      <c r="F1116">
        <v>40536000</v>
      </c>
      <c r="H1116">
        <v>439146000</v>
      </c>
      <c r="J1116">
        <v>1297086000</v>
      </c>
      <c r="M1116">
        <v>479682000</v>
      </c>
      <c r="N1116">
        <v>70.118172250225598</v>
      </c>
      <c r="P1116">
        <v>2.31671</v>
      </c>
      <c r="Q1116">
        <v>-1.83989</v>
      </c>
      <c r="R1116">
        <v>30050000</v>
      </c>
      <c r="S1116">
        <v>100</v>
      </c>
    </row>
    <row r="1117" spans="1:19" x14ac:dyDescent="0.2">
      <c r="A1117" t="s">
        <v>108</v>
      </c>
      <c r="B1117" t="s">
        <v>84</v>
      </c>
      <c r="C1117">
        <v>2022</v>
      </c>
      <c r="D1117">
        <v>1053660000</v>
      </c>
      <c r="F1117">
        <v>39048000</v>
      </c>
      <c r="H1117">
        <v>408020000</v>
      </c>
      <c r="J1117">
        <v>2319695000</v>
      </c>
      <c r="M1117">
        <v>447068000</v>
      </c>
      <c r="N1117">
        <v>74.110656110796597</v>
      </c>
      <c r="P1117">
        <v>1.0298700000000001</v>
      </c>
      <c r="Q1117">
        <v>-3.1100599999999998</v>
      </c>
      <c r="R1117">
        <v>-8716200</v>
      </c>
      <c r="S1117">
        <v>100</v>
      </c>
    </row>
    <row r="1118" spans="1:19" x14ac:dyDescent="0.2">
      <c r="A1118" t="s">
        <v>108</v>
      </c>
      <c r="B1118" t="s">
        <v>84</v>
      </c>
      <c r="C1118">
        <v>2023</v>
      </c>
      <c r="D1118">
        <v>1110024000</v>
      </c>
      <c r="F1118">
        <v>23663000</v>
      </c>
      <c r="H1118">
        <v>463523000</v>
      </c>
      <c r="J1118">
        <v>2101085000</v>
      </c>
      <c r="M1118">
        <v>487186000</v>
      </c>
      <c r="N1118">
        <v>72.146317394258304</v>
      </c>
      <c r="P1118">
        <v>7.59917</v>
      </c>
      <c r="Q1118">
        <v>4.0358499999999999</v>
      </c>
      <c r="R1118">
        <v>31562500</v>
      </c>
      <c r="S1118">
        <v>100</v>
      </c>
    </row>
    <row r="1119" spans="1:19" x14ac:dyDescent="0.2">
      <c r="A1119" t="s">
        <v>108</v>
      </c>
      <c r="B1119" t="s">
        <v>84</v>
      </c>
      <c r="C1119">
        <v>2024</v>
      </c>
      <c r="D1119">
        <v>1621915000</v>
      </c>
      <c r="F1119">
        <v>25411000</v>
      </c>
      <c r="H1119">
        <v>686182000</v>
      </c>
      <c r="J1119">
        <v>470532000</v>
      </c>
      <c r="M1119">
        <v>711593000</v>
      </c>
      <c r="N1119">
        <v>66.295967629950496</v>
      </c>
      <c r="P1119">
        <v>16.788399999999999</v>
      </c>
      <c r="Q1119">
        <v>14.61861</v>
      </c>
      <c r="R1119">
        <v>258642130</v>
      </c>
      <c r="S1119">
        <v>100</v>
      </c>
    </row>
    <row r="1120" spans="1:19" x14ac:dyDescent="0.2">
      <c r="A1120" t="s">
        <v>108</v>
      </c>
      <c r="B1120" t="s">
        <v>84</v>
      </c>
      <c r="C1120">
        <v>2025</v>
      </c>
      <c r="D1120">
        <v>1541226000</v>
      </c>
      <c r="F1120">
        <v>195086000</v>
      </c>
      <c r="H1120">
        <v>553316000</v>
      </c>
      <c r="J1120">
        <v>1182576000</v>
      </c>
      <c r="M1120">
        <v>748402000</v>
      </c>
      <c r="N1120">
        <v>66.295967629950496</v>
      </c>
      <c r="P1120">
        <v>2.2685599999999999</v>
      </c>
      <c r="Q1120">
        <v>-2.7615699999999999</v>
      </c>
      <c r="R1120">
        <v>-81342140</v>
      </c>
      <c r="S1120">
        <v>100</v>
      </c>
    </row>
    <row r="1121" spans="1:19" x14ac:dyDescent="0.2">
      <c r="A1121" t="s">
        <v>106</v>
      </c>
      <c r="B1121" t="s">
        <v>85</v>
      </c>
      <c r="C1121">
        <v>2005</v>
      </c>
      <c r="D1121" t="s">
        <v>18</v>
      </c>
      <c r="F1121" t="s">
        <v>18</v>
      </c>
      <c r="H1121" t="s">
        <v>18</v>
      </c>
      <c r="J1121" t="s">
        <v>18</v>
      </c>
      <c r="M1121" t="s">
        <v>18</v>
      </c>
      <c r="N1121" t="s">
        <v>18</v>
      </c>
      <c r="P1121" t="s">
        <v>18</v>
      </c>
      <c r="Q1121" t="s">
        <v>18</v>
      </c>
      <c r="R1121" t="s">
        <v>18</v>
      </c>
      <c r="S1121" t="s">
        <v>18</v>
      </c>
    </row>
    <row r="1122" spans="1:19" x14ac:dyDescent="0.2">
      <c r="A1122" t="s">
        <v>106</v>
      </c>
      <c r="B1122" t="s">
        <v>85</v>
      </c>
      <c r="C1122">
        <v>2006</v>
      </c>
      <c r="D1122" t="s">
        <v>18</v>
      </c>
      <c r="F1122" t="s">
        <v>18</v>
      </c>
      <c r="H1122" t="s">
        <v>18</v>
      </c>
      <c r="J1122" t="s">
        <v>18</v>
      </c>
      <c r="M1122" t="s">
        <v>18</v>
      </c>
      <c r="N1122" t="s">
        <v>18</v>
      </c>
      <c r="P1122" t="s">
        <v>18</v>
      </c>
      <c r="Q1122" t="s">
        <v>18</v>
      </c>
      <c r="R1122" t="s">
        <v>18</v>
      </c>
      <c r="S1122" t="s">
        <v>18</v>
      </c>
    </row>
    <row r="1123" spans="1:19" x14ac:dyDescent="0.2">
      <c r="A1123" t="s">
        <v>106</v>
      </c>
      <c r="B1123" t="s">
        <v>85</v>
      </c>
      <c r="C1123">
        <v>2007</v>
      </c>
      <c r="D1123" t="s">
        <v>18</v>
      </c>
      <c r="F1123" t="s">
        <v>18</v>
      </c>
      <c r="H1123" t="s">
        <v>18</v>
      </c>
      <c r="J1123" t="s">
        <v>18</v>
      </c>
      <c r="M1123" t="s">
        <v>18</v>
      </c>
      <c r="N1123" t="s">
        <v>18</v>
      </c>
      <c r="P1123" t="s">
        <v>18</v>
      </c>
      <c r="Q1123" t="s">
        <v>18</v>
      </c>
      <c r="R1123" t="s">
        <v>18</v>
      </c>
      <c r="S1123" t="s">
        <v>18</v>
      </c>
    </row>
    <row r="1124" spans="1:19" x14ac:dyDescent="0.2">
      <c r="A1124" t="s">
        <v>106</v>
      </c>
      <c r="B1124" t="s">
        <v>85</v>
      </c>
      <c r="C1124">
        <v>2008</v>
      </c>
      <c r="D1124" t="s">
        <v>18</v>
      </c>
      <c r="F1124" t="s">
        <v>18</v>
      </c>
      <c r="H1124" t="s">
        <v>18</v>
      </c>
      <c r="J1124" t="s">
        <v>18</v>
      </c>
      <c r="M1124" t="s">
        <v>18</v>
      </c>
      <c r="N1124" t="s">
        <v>18</v>
      </c>
      <c r="P1124" t="s">
        <v>18</v>
      </c>
      <c r="Q1124" t="s">
        <v>18</v>
      </c>
      <c r="R1124" t="s">
        <v>18</v>
      </c>
      <c r="S1124" t="s">
        <v>18</v>
      </c>
    </row>
    <row r="1125" spans="1:19" x14ac:dyDescent="0.2">
      <c r="A1125" t="s">
        <v>106</v>
      </c>
      <c r="B1125" t="s">
        <v>85</v>
      </c>
      <c r="C1125">
        <v>2009</v>
      </c>
      <c r="D1125" t="s">
        <v>18</v>
      </c>
      <c r="F1125" t="s">
        <v>18</v>
      </c>
      <c r="H1125" t="s">
        <v>18</v>
      </c>
      <c r="J1125" t="s">
        <v>18</v>
      </c>
      <c r="M1125" t="s">
        <v>18</v>
      </c>
      <c r="N1125" t="s">
        <v>18</v>
      </c>
      <c r="P1125" t="s">
        <v>18</v>
      </c>
      <c r="Q1125" t="s">
        <v>18</v>
      </c>
      <c r="R1125" t="s">
        <v>18</v>
      </c>
      <c r="S1125" t="s">
        <v>18</v>
      </c>
    </row>
    <row r="1126" spans="1:19" x14ac:dyDescent="0.2">
      <c r="A1126" t="s">
        <v>106</v>
      </c>
      <c r="B1126" t="s">
        <v>85</v>
      </c>
      <c r="C1126">
        <v>2010</v>
      </c>
      <c r="D1126" t="s">
        <v>18</v>
      </c>
      <c r="F1126" t="s">
        <v>18</v>
      </c>
      <c r="H1126" t="s">
        <v>18</v>
      </c>
      <c r="J1126" t="s">
        <v>18</v>
      </c>
      <c r="M1126" t="s">
        <v>18</v>
      </c>
      <c r="N1126" t="s">
        <v>18</v>
      </c>
      <c r="P1126" t="s">
        <v>18</v>
      </c>
      <c r="Q1126" t="s">
        <v>18</v>
      </c>
      <c r="R1126" t="s">
        <v>18</v>
      </c>
      <c r="S1126" t="s">
        <v>18</v>
      </c>
    </row>
    <row r="1127" spans="1:19" x14ac:dyDescent="0.2">
      <c r="A1127" t="s">
        <v>106</v>
      </c>
      <c r="B1127" t="s">
        <v>85</v>
      </c>
      <c r="C1127">
        <v>2011</v>
      </c>
      <c r="D1127" t="s">
        <v>18</v>
      </c>
      <c r="F1127" t="s">
        <v>18</v>
      </c>
      <c r="H1127" t="s">
        <v>18</v>
      </c>
      <c r="J1127" t="s">
        <v>18</v>
      </c>
      <c r="M1127" t="s">
        <v>18</v>
      </c>
      <c r="N1127" t="s">
        <v>18</v>
      </c>
      <c r="P1127" t="s">
        <v>18</v>
      </c>
      <c r="Q1127" t="s">
        <v>18</v>
      </c>
      <c r="R1127" t="s">
        <v>18</v>
      </c>
      <c r="S1127" t="s">
        <v>18</v>
      </c>
    </row>
    <row r="1128" spans="1:19" x14ac:dyDescent="0.2">
      <c r="A1128" t="s">
        <v>106</v>
      </c>
      <c r="B1128" t="s">
        <v>85</v>
      </c>
      <c r="C1128">
        <v>2012</v>
      </c>
      <c r="D1128">
        <v>118763000</v>
      </c>
      <c r="F1128">
        <v>64586999.999999397</v>
      </c>
      <c r="H1128">
        <v>27550000.000000399</v>
      </c>
      <c r="J1128" t="s">
        <v>18</v>
      </c>
      <c r="M1128">
        <v>93372999.999999702</v>
      </c>
      <c r="N1128" t="s">
        <v>18</v>
      </c>
      <c r="P1128">
        <v>8.1087699999999998</v>
      </c>
      <c r="Q1128">
        <v>6.5933299999999999</v>
      </c>
      <c r="R1128" t="s">
        <v>18</v>
      </c>
      <c r="S1128" t="s">
        <v>18</v>
      </c>
    </row>
    <row r="1129" spans="1:19" x14ac:dyDescent="0.2">
      <c r="A1129" t="s">
        <v>106</v>
      </c>
      <c r="B1129" t="s">
        <v>85</v>
      </c>
      <c r="C1129">
        <v>2013</v>
      </c>
      <c r="D1129">
        <v>148824942.31170201</v>
      </c>
      <c r="F1129">
        <v>83312070.523099005</v>
      </c>
      <c r="H1129">
        <v>20709622.4339385</v>
      </c>
      <c r="J1129" t="s">
        <v>18</v>
      </c>
      <c r="M1129">
        <v>105454560.949128</v>
      </c>
      <c r="N1129" t="s">
        <v>18</v>
      </c>
      <c r="P1129">
        <v>7.6810799999999997</v>
      </c>
      <c r="Q1129">
        <v>0.39055000000000001</v>
      </c>
      <c r="R1129" t="s">
        <v>18</v>
      </c>
      <c r="S1129" t="s">
        <v>18</v>
      </c>
    </row>
    <row r="1130" spans="1:19" x14ac:dyDescent="0.2">
      <c r="A1130" t="s">
        <v>106</v>
      </c>
      <c r="B1130" t="s">
        <v>85</v>
      </c>
      <c r="C1130">
        <v>2014</v>
      </c>
      <c r="D1130">
        <v>422696146.62644398</v>
      </c>
      <c r="F1130">
        <v>287660318.74453998</v>
      </c>
      <c r="H1130">
        <v>12469989.7861959</v>
      </c>
      <c r="J1130">
        <v>316788640.75628799</v>
      </c>
      <c r="M1130">
        <v>335466903.42383301</v>
      </c>
      <c r="N1130" t="s">
        <v>18</v>
      </c>
      <c r="P1130">
        <v>-13.0664</v>
      </c>
      <c r="Q1130">
        <v>-57.910240000000002</v>
      </c>
      <c r="R1130" t="s">
        <v>18</v>
      </c>
      <c r="S1130" t="s">
        <v>18</v>
      </c>
    </row>
    <row r="1131" spans="1:19" x14ac:dyDescent="0.2">
      <c r="A1131" t="s">
        <v>106</v>
      </c>
      <c r="B1131" t="s">
        <v>85</v>
      </c>
      <c r="C1131">
        <v>2015</v>
      </c>
      <c r="D1131">
        <v>554468960.15123105</v>
      </c>
      <c r="F1131">
        <v>381689595.71065301</v>
      </c>
      <c r="H1131">
        <v>69673473.922644496</v>
      </c>
      <c r="J1131">
        <v>381271671.68335098</v>
      </c>
      <c r="M1131">
        <v>511858427.388919</v>
      </c>
      <c r="N1131" t="s">
        <v>18</v>
      </c>
      <c r="P1131">
        <v>60.794820000000001</v>
      </c>
      <c r="Q1131">
        <v>41.427340000000001</v>
      </c>
      <c r="R1131">
        <v>19906297.669012699</v>
      </c>
      <c r="S1131" t="s">
        <v>18</v>
      </c>
    </row>
    <row r="1132" spans="1:19" x14ac:dyDescent="0.2">
      <c r="A1132" t="s">
        <v>106</v>
      </c>
      <c r="B1132" t="s">
        <v>85</v>
      </c>
      <c r="C1132">
        <v>2016</v>
      </c>
      <c r="D1132">
        <v>831625137.97031605</v>
      </c>
      <c r="F1132">
        <v>568699914.31254101</v>
      </c>
      <c r="H1132">
        <v>84077063.397361904</v>
      </c>
      <c r="J1132">
        <v>397784291.08208901</v>
      </c>
      <c r="M1132">
        <v>717178365.36007595</v>
      </c>
      <c r="N1132" t="s">
        <v>18</v>
      </c>
      <c r="P1132">
        <v>78.95966</v>
      </c>
      <c r="Q1132">
        <v>59.276330000000002</v>
      </c>
      <c r="R1132">
        <v>53889678.615999401</v>
      </c>
      <c r="S1132">
        <v>100</v>
      </c>
    </row>
    <row r="1133" spans="1:19" x14ac:dyDescent="0.2">
      <c r="A1133" t="s">
        <v>106</v>
      </c>
      <c r="B1133" t="s">
        <v>85</v>
      </c>
      <c r="C1133">
        <v>2017</v>
      </c>
      <c r="D1133">
        <v>779190947.87541997</v>
      </c>
      <c r="F1133">
        <v>559353176.51962495</v>
      </c>
      <c r="H1133">
        <v>75409884.913743198</v>
      </c>
      <c r="J1133">
        <v>524097778.05714601</v>
      </c>
      <c r="M1133">
        <v>703926215.39886498</v>
      </c>
      <c r="N1133" t="s">
        <v>18</v>
      </c>
      <c r="P1133">
        <v>75.130560000000003</v>
      </c>
      <c r="Q1133">
        <v>50.65907</v>
      </c>
      <c r="R1133">
        <v>63145155.770759404</v>
      </c>
      <c r="S1133">
        <v>100</v>
      </c>
    </row>
    <row r="1134" spans="1:19" x14ac:dyDescent="0.2">
      <c r="A1134" t="s">
        <v>106</v>
      </c>
      <c r="B1134" t="s">
        <v>85</v>
      </c>
      <c r="C1134">
        <v>2018</v>
      </c>
      <c r="D1134">
        <v>1040143759.0739599</v>
      </c>
      <c r="F1134">
        <v>733488939.31400001</v>
      </c>
      <c r="H1134">
        <v>133052870.967467</v>
      </c>
      <c r="J1134">
        <v>840125463.638767</v>
      </c>
      <c r="M1134">
        <v>925180438.40989399</v>
      </c>
      <c r="N1134">
        <v>54.425898853327404</v>
      </c>
      <c r="P1134">
        <v>77.680610000000001</v>
      </c>
      <c r="Q1134">
        <v>55.721769999999999</v>
      </c>
      <c r="R1134">
        <v>105472334.68009999</v>
      </c>
      <c r="S1134">
        <v>100</v>
      </c>
    </row>
    <row r="1135" spans="1:19" x14ac:dyDescent="0.2">
      <c r="A1135" t="s">
        <v>106</v>
      </c>
      <c r="B1135" t="s">
        <v>85</v>
      </c>
      <c r="C1135">
        <v>2019</v>
      </c>
      <c r="D1135">
        <v>1499544542.58164</v>
      </c>
      <c r="F1135">
        <v>984085568.43043494</v>
      </c>
      <c r="H1135">
        <v>190155611.37671199</v>
      </c>
      <c r="J1135">
        <v>1573638368.9019799</v>
      </c>
      <c r="M1135">
        <v>1233891905.0320101</v>
      </c>
      <c r="N1135">
        <v>49.998221882589803</v>
      </c>
      <c r="P1135">
        <v>72.893140000000002</v>
      </c>
      <c r="Q1135">
        <v>50.651609999999998</v>
      </c>
      <c r="R1135">
        <v>63143612.327601299</v>
      </c>
      <c r="S1135">
        <v>100</v>
      </c>
    </row>
    <row r="1136" spans="1:19" x14ac:dyDescent="0.2">
      <c r="A1136" t="s">
        <v>106</v>
      </c>
      <c r="B1136" t="s">
        <v>85</v>
      </c>
      <c r="C1136">
        <v>2020</v>
      </c>
      <c r="D1136">
        <v>2192753882.2564502</v>
      </c>
      <c r="F1136">
        <v>1403370614.2349401</v>
      </c>
      <c r="H1136">
        <v>302522398.159118</v>
      </c>
      <c r="J1136">
        <v>5149057421.4979095</v>
      </c>
      <c r="M1136">
        <v>1773266996.2635601</v>
      </c>
      <c r="N1136">
        <v>60.995097877301198</v>
      </c>
      <c r="P1136">
        <v>78.121549999999999</v>
      </c>
      <c r="Q1136">
        <v>51.65746</v>
      </c>
      <c r="R1136">
        <v>100866228.41995101</v>
      </c>
      <c r="S1136">
        <v>99.362499999999997</v>
      </c>
    </row>
    <row r="1137" spans="1:20" x14ac:dyDescent="0.2">
      <c r="A1137" t="s">
        <v>106</v>
      </c>
      <c r="B1137" t="s">
        <v>85</v>
      </c>
      <c r="C1137">
        <v>2021</v>
      </c>
      <c r="D1137">
        <v>2545105958.3347902</v>
      </c>
      <c r="F1137">
        <v>1241959780.3658199</v>
      </c>
      <c r="H1137">
        <v>839427738.72393</v>
      </c>
      <c r="J1137">
        <v>2434725398.1809802</v>
      </c>
      <c r="M1137">
        <v>2145628463.8431301</v>
      </c>
      <c r="N1137">
        <v>56.937328977279897</v>
      </c>
      <c r="P1137">
        <v>75.207509999999999</v>
      </c>
      <c r="Q1137">
        <v>47.600140000000003</v>
      </c>
      <c r="R1137">
        <v>138301466.96137699</v>
      </c>
      <c r="S1137">
        <v>99.820899999999995</v>
      </c>
    </row>
    <row r="1138" spans="1:20" x14ac:dyDescent="0.2">
      <c r="A1138" t="s">
        <v>106</v>
      </c>
      <c r="B1138" t="s">
        <v>85</v>
      </c>
      <c r="C1138">
        <v>2022</v>
      </c>
      <c r="D1138">
        <v>3299211940.9086299</v>
      </c>
      <c r="F1138">
        <v>1909707329.64675</v>
      </c>
      <c r="H1138">
        <v>925936866.24956</v>
      </c>
      <c r="J1138">
        <v>1191394367.20625</v>
      </c>
      <c r="M1138">
        <v>2900469765.0652299</v>
      </c>
      <c r="N1138">
        <v>68.8764383183061</v>
      </c>
      <c r="P1138">
        <v>70.342330000000004</v>
      </c>
      <c r="Q1138">
        <v>43.548389999999998</v>
      </c>
      <c r="R1138">
        <v>198433053.932253</v>
      </c>
      <c r="S1138">
        <v>99.790800000000004</v>
      </c>
    </row>
    <row r="1139" spans="1:20" x14ac:dyDescent="0.2">
      <c r="A1139" t="s">
        <v>106</v>
      </c>
      <c r="B1139" t="s">
        <v>85</v>
      </c>
      <c r="C1139">
        <v>2023</v>
      </c>
      <c r="D1139">
        <v>3503344255.60149</v>
      </c>
      <c r="F1139">
        <v>2358772214.5664301</v>
      </c>
      <c r="H1139">
        <v>788133231.25606096</v>
      </c>
      <c r="J1139">
        <v>1167188898.87725</v>
      </c>
      <c r="M1139">
        <v>3198411187.6690698</v>
      </c>
      <c r="N1139">
        <v>65.702557874462997</v>
      </c>
      <c r="P1139">
        <v>60.293140000000001</v>
      </c>
      <c r="Q1139">
        <v>30.646239999999999</v>
      </c>
      <c r="R1139">
        <v>80656067.339777395</v>
      </c>
      <c r="S1139">
        <v>99.894599999999997</v>
      </c>
    </row>
    <row r="1140" spans="1:20" x14ac:dyDescent="0.2">
      <c r="A1140" t="s">
        <v>106</v>
      </c>
      <c r="B1140" t="s">
        <v>85</v>
      </c>
      <c r="C1140">
        <v>2024</v>
      </c>
      <c r="D1140">
        <v>3736687684.3839698</v>
      </c>
      <c r="F1140">
        <v>2418498350.2876101</v>
      </c>
      <c r="H1140">
        <v>776573016.54645801</v>
      </c>
      <c r="J1140">
        <v>1072175173.5283999</v>
      </c>
      <c r="M1140">
        <v>3363510644.1968999</v>
      </c>
      <c r="N1140">
        <v>73.486998949805098</v>
      </c>
      <c r="P1140">
        <v>66.019419999999997</v>
      </c>
      <c r="Q1140">
        <v>40.217709999999997</v>
      </c>
      <c r="R1140">
        <v>184968919.74865901</v>
      </c>
      <c r="S1140">
        <v>100</v>
      </c>
    </row>
    <row r="1141" spans="1:20" x14ac:dyDescent="0.2">
      <c r="A1141" t="s">
        <v>106</v>
      </c>
      <c r="B1141" t="s">
        <v>85</v>
      </c>
      <c r="C1141">
        <v>2025</v>
      </c>
      <c r="D1141">
        <v>3887327467.7318602</v>
      </c>
      <c r="F1141">
        <v>2466483868.12955</v>
      </c>
      <c r="H1141">
        <v>903207475.12251794</v>
      </c>
      <c r="J1141">
        <v>1431656358.9409001</v>
      </c>
      <c r="M1141">
        <v>3551216669.4528298</v>
      </c>
      <c r="N1141">
        <v>73.486998949805098</v>
      </c>
      <c r="P1141">
        <v>73.580590000000001</v>
      </c>
      <c r="Q1141">
        <v>47.344320000000003</v>
      </c>
      <c r="R1141">
        <v>319363195.92911297</v>
      </c>
      <c r="S1141">
        <v>100</v>
      </c>
    </row>
    <row r="1143" spans="1:20" x14ac:dyDescent="0.2">
      <c r="D1143">
        <f>COUNTIF(D1:D1141,"NULL")</f>
        <v>120</v>
      </c>
      <c r="E1143">
        <f t="shared" ref="E1143:S1143" si="0">COUNTIF(E1:E1141,"NULL")</f>
        <v>227</v>
      </c>
      <c r="F1143">
        <f t="shared" si="0"/>
        <v>160</v>
      </c>
      <c r="G1143">
        <f t="shared" si="0"/>
        <v>124</v>
      </c>
      <c r="H1143">
        <f t="shared" si="0"/>
        <v>121</v>
      </c>
      <c r="I1143">
        <f t="shared" si="0"/>
        <v>577</v>
      </c>
      <c r="J1143">
        <f t="shared" si="0"/>
        <v>144</v>
      </c>
      <c r="K1143">
        <f t="shared" si="0"/>
        <v>112</v>
      </c>
      <c r="L1143">
        <f t="shared" si="0"/>
        <v>566</v>
      </c>
      <c r="M1143">
        <f t="shared" si="0"/>
        <v>251</v>
      </c>
      <c r="N1143">
        <f t="shared" si="0"/>
        <v>381</v>
      </c>
      <c r="O1143">
        <f t="shared" si="0"/>
        <v>600</v>
      </c>
      <c r="P1143">
        <f t="shared" si="0"/>
        <v>135</v>
      </c>
      <c r="Q1143">
        <f t="shared" si="0"/>
        <v>135</v>
      </c>
      <c r="R1143">
        <f t="shared" si="0"/>
        <v>237</v>
      </c>
      <c r="S1143">
        <f t="shared" si="0"/>
        <v>450</v>
      </c>
    </row>
    <row r="1144" spans="1:20" x14ac:dyDescent="0.2">
      <c r="A1144" s="3" t="s">
        <v>87</v>
      </c>
      <c r="B1144" t="s">
        <v>86</v>
      </c>
      <c r="C1144" s="7" t="s">
        <v>145</v>
      </c>
      <c r="D1144" t="s">
        <v>0</v>
      </c>
      <c r="E1144" t="s">
        <v>1</v>
      </c>
      <c r="F1144" t="s">
        <v>2</v>
      </c>
      <c r="G1144" t="s">
        <v>3</v>
      </c>
      <c r="H1144" t="s">
        <v>4</v>
      </c>
      <c r="I1144" s="1" t="s">
        <v>5</v>
      </c>
      <c r="J1144" t="s">
        <v>6</v>
      </c>
      <c r="K1144" t="s">
        <v>7</v>
      </c>
      <c r="L1144" s="1" t="s">
        <v>8</v>
      </c>
      <c r="M1144" t="s">
        <v>9</v>
      </c>
      <c r="N1144" s="1" t="s">
        <v>10</v>
      </c>
      <c r="O1144" s="1" t="s">
        <v>11</v>
      </c>
      <c r="P1144" t="s">
        <v>12</v>
      </c>
      <c r="Q1144" t="s">
        <v>13</v>
      </c>
      <c r="R1144" t="s">
        <v>14</v>
      </c>
      <c r="S1144" s="1" t="s">
        <v>15</v>
      </c>
      <c r="T1144" t="s">
        <v>16</v>
      </c>
    </row>
    <row r="1145" spans="1:20" x14ac:dyDescent="0.2">
      <c r="D1145" t="s">
        <v>146</v>
      </c>
      <c r="F1145" t="s">
        <v>148</v>
      </c>
      <c r="G1145" t="s">
        <v>147</v>
      </c>
      <c r="H1145" t="s">
        <v>149</v>
      </c>
      <c r="J1145" t="s">
        <v>150</v>
      </c>
    </row>
    <row r="1149" spans="1:20" x14ac:dyDescent="0.2">
      <c r="S1149">
        <f>AVERAGE(S22:S1140)</f>
        <v>35.675406528189889</v>
      </c>
    </row>
    <row r="1154" spans="16:19" x14ac:dyDescent="0.2">
      <c r="P1154">
        <f>AVERAGE(P1157:P1208)</f>
        <v>64.355729179097068</v>
      </c>
    </row>
    <row r="1157" spans="16:19" x14ac:dyDescent="0.2">
      <c r="P1157">
        <v>86.309952484514099</v>
      </c>
      <c r="S1157">
        <v>33.755000000000003</v>
      </c>
    </row>
    <row r="1158" spans="16:19" x14ac:dyDescent="0.2">
      <c r="P1158">
        <v>31.587126958899599</v>
      </c>
      <c r="S1158">
        <v>91.915999999999997</v>
      </c>
    </row>
    <row r="1159" spans="16:19" x14ac:dyDescent="0.2">
      <c r="P1159">
        <v>53.950877026755201</v>
      </c>
      <c r="S1159">
        <v>100</v>
      </c>
    </row>
    <row r="1160" spans="16:19" x14ac:dyDescent="0.2">
      <c r="P1160">
        <v>60.870803231238298</v>
      </c>
      <c r="S1160">
        <v>36.558599999999998</v>
      </c>
    </row>
    <row r="1161" spans="16:19" x14ac:dyDescent="0.2">
      <c r="P1161">
        <v>82.508460580039795</v>
      </c>
      <c r="S1161">
        <v>28.858599999999999</v>
      </c>
    </row>
    <row r="1162" spans="16:19" x14ac:dyDescent="0.2">
      <c r="P1162">
        <v>80.132960460448899</v>
      </c>
      <c r="S1162">
        <v>42.208199999999998</v>
      </c>
    </row>
    <row r="1163" spans="16:19" x14ac:dyDescent="0.2">
      <c r="P1163">
        <v>78.936694097758405</v>
      </c>
      <c r="S1163">
        <v>15.6434</v>
      </c>
    </row>
    <row r="1164" spans="16:19" x14ac:dyDescent="0.2">
      <c r="P1164">
        <v>77.126110519355393</v>
      </c>
      <c r="S1164">
        <v>43.1997</v>
      </c>
    </row>
    <row r="1165" spans="16:19" x14ac:dyDescent="0.2">
      <c r="P1165">
        <v>63.592717903167397</v>
      </c>
      <c r="S1165">
        <v>1.3416999999999999</v>
      </c>
    </row>
    <row r="1166" spans="16:19" x14ac:dyDescent="0.2">
      <c r="P1166">
        <v>88.101131152958402</v>
      </c>
      <c r="S1166">
        <v>100</v>
      </c>
    </row>
    <row r="1167" spans="16:19" x14ac:dyDescent="0.2">
      <c r="P1167">
        <v>72.6726177999074</v>
      </c>
      <c r="S1167">
        <v>42.7226</v>
      </c>
    </row>
    <row r="1168" spans="16:19" x14ac:dyDescent="0.2">
      <c r="P1168">
        <v>62.6107395321037</v>
      </c>
      <c r="S1168" t="s">
        <v>18</v>
      </c>
    </row>
    <row r="1169" spans="16:19" x14ac:dyDescent="0.2">
      <c r="P1169">
        <v>59.5079865968533</v>
      </c>
      <c r="S1169">
        <v>84.652600000000007</v>
      </c>
    </row>
    <row r="1170" spans="16:19" x14ac:dyDescent="0.2">
      <c r="P1170">
        <v>83.172172497030999</v>
      </c>
      <c r="S1170">
        <v>16.136600000000001</v>
      </c>
    </row>
    <row r="1171" spans="16:19" x14ac:dyDescent="0.2">
      <c r="P1171">
        <v>41.000663165897699</v>
      </c>
      <c r="S1171">
        <v>100</v>
      </c>
    </row>
    <row r="1172" spans="16:19" x14ac:dyDescent="0.2">
      <c r="P1172">
        <v>46.906050807264798</v>
      </c>
      <c r="S1172">
        <v>100</v>
      </c>
    </row>
    <row r="1173" spans="16:19" x14ac:dyDescent="0.2">
      <c r="P1173">
        <v>49.345372198347</v>
      </c>
      <c r="S1173">
        <v>80.855000000000004</v>
      </c>
    </row>
    <row r="1174" spans="16:19" x14ac:dyDescent="0.2">
      <c r="P1174">
        <v>57.804925471601898</v>
      </c>
      <c r="S1174">
        <v>0</v>
      </c>
    </row>
    <row r="1175" spans="16:19" x14ac:dyDescent="0.2">
      <c r="P1175">
        <v>77.262917298337996</v>
      </c>
      <c r="S1175">
        <v>99.951099999999997</v>
      </c>
    </row>
    <row r="1176" spans="16:19" x14ac:dyDescent="0.2">
      <c r="P1176">
        <v>45.847395249497303</v>
      </c>
      <c r="S1176">
        <v>100</v>
      </c>
    </row>
    <row r="1177" spans="16:19" x14ac:dyDescent="0.2">
      <c r="P1177">
        <v>75.332096183190501</v>
      </c>
      <c r="S1177">
        <v>35.817999999999998</v>
      </c>
    </row>
    <row r="1178" spans="16:19" x14ac:dyDescent="0.2">
      <c r="P1178">
        <v>70.969410253522597</v>
      </c>
      <c r="S1178">
        <v>1.8136000000000001</v>
      </c>
    </row>
    <row r="1179" spans="16:19" x14ac:dyDescent="0.2">
      <c r="P1179">
        <v>69.790267576123398</v>
      </c>
      <c r="S1179">
        <v>74.868799999999993</v>
      </c>
    </row>
    <row r="1180" spans="16:19" x14ac:dyDescent="0.2">
      <c r="P1180">
        <v>78.218896148853602</v>
      </c>
      <c r="S1180">
        <v>22.960799999999999</v>
      </c>
    </row>
    <row r="1181" spans="16:19" x14ac:dyDescent="0.2">
      <c r="P1181">
        <v>72.623370657109604</v>
      </c>
      <c r="S1181">
        <v>3.2151999999999998</v>
      </c>
    </row>
    <row r="1182" spans="16:19" x14ac:dyDescent="0.2">
      <c r="P1182">
        <v>77.5323049600715</v>
      </c>
      <c r="S1182">
        <v>3.5554000000000001</v>
      </c>
    </row>
    <row r="1183" spans="16:19" x14ac:dyDescent="0.2">
      <c r="P1183">
        <v>76.609352028014897</v>
      </c>
      <c r="S1183">
        <v>72.997699999999995</v>
      </c>
    </row>
    <row r="1184" spans="16:19" x14ac:dyDescent="0.2">
      <c r="P1184">
        <v>46.384469481430003</v>
      </c>
      <c r="S1184">
        <v>99.095399999999998</v>
      </c>
    </row>
    <row r="1185" spans="16:19" x14ac:dyDescent="0.2">
      <c r="P1185">
        <v>61.884798461586499</v>
      </c>
      <c r="S1185">
        <v>4.6474000000000002</v>
      </c>
    </row>
    <row r="1186" spans="16:19" x14ac:dyDescent="0.2">
      <c r="P1186">
        <v>71.102110445334404</v>
      </c>
      <c r="S1186">
        <v>100</v>
      </c>
    </row>
    <row r="1187" spans="16:19" x14ac:dyDescent="0.2">
      <c r="P1187">
        <v>74.197442152407305</v>
      </c>
      <c r="S1187">
        <v>24.594200000000001</v>
      </c>
    </row>
    <row r="1188" spans="16:19" x14ac:dyDescent="0.2">
      <c r="P1188">
        <v>62.8248333038268</v>
      </c>
      <c r="S1188">
        <v>2.9999999999999997E-4</v>
      </c>
    </row>
    <row r="1189" spans="16:19" x14ac:dyDescent="0.2">
      <c r="P1189">
        <v>84.066819484803403</v>
      </c>
      <c r="S1189">
        <v>1.196</v>
      </c>
    </row>
    <row r="1190" spans="16:19" x14ac:dyDescent="0.2">
      <c r="P1190">
        <v>84.086495392995204</v>
      </c>
      <c r="S1190">
        <v>1.1256999999999999</v>
      </c>
    </row>
    <row r="1191" spans="16:19" x14ac:dyDescent="0.2">
      <c r="P1191">
        <v>66.456058591811299</v>
      </c>
      <c r="S1191">
        <v>36.5745</v>
      </c>
    </row>
    <row r="1192" spans="16:19" x14ac:dyDescent="0.2">
      <c r="P1192">
        <v>50.302962572878499</v>
      </c>
      <c r="S1192">
        <v>67.827100000000002</v>
      </c>
    </row>
    <row r="1193" spans="16:19" x14ac:dyDescent="0.2">
      <c r="P1193">
        <v>19.069243756482699</v>
      </c>
      <c r="S1193" t="s">
        <v>18</v>
      </c>
    </row>
    <row r="1194" spans="16:19" x14ac:dyDescent="0.2">
      <c r="P1194">
        <v>68.610226520971494</v>
      </c>
      <c r="S1194">
        <v>5.0079000000000002</v>
      </c>
    </row>
    <row r="1195" spans="16:19" x14ac:dyDescent="0.2">
      <c r="P1195">
        <v>24.067370015932301</v>
      </c>
      <c r="S1195">
        <v>100</v>
      </c>
    </row>
    <row r="1196" spans="16:19" x14ac:dyDescent="0.2">
      <c r="P1196">
        <v>15.295079372435501</v>
      </c>
      <c r="S1196">
        <v>100</v>
      </c>
    </row>
    <row r="1197" spans="16:19" x14ac:dyDescent="0.2">
      <c r="P1197">
        <v>74.753854521549101</v>
      </c>
      <c r="S1197">
        <v>3.6433</v>
      </c>
    </row>
    <row r="1198" spans="16:19" x14ac:dyDescent="0.2">
      <c r="P1198">
        <v>49.736187663679601</v>
      </c>
      <c r="S1198" t="s">
        <v>18</v>
      </c>
    </row>
    <row r="1199" spans="16:19" x14ac:dyDescent="0.2">
      <c r="P1199">
        <v>77.410889599831805</v>
      </c>
      <c r="S1199">
        <v>34.500399999999999</v>
      </c>
    </row>
    <row r="1200" spans="16:19" x14ac:dyDescent="0.2">
      <c r="P1200">
        <v>69.941678884169406</v>
      </c>
      <c r="S1200">
        <v>15.169</v>
      </c>
    </row>
    <row r="1201" spans="16:19" x14ac:dyDescent="0.2">
      <c r="P1201">
        <v>73.791663645050605</v>
      </c>
      <c r="S1201">
        <v>13.269399999999999</v>
      </c>
    </row>
    <row r="1202" spans="16:19" x14ac:dyDescent="0.2">
      <c r="P1202">
        <v>62.075143184707201</v>
      </c>
      <c r="S1202" t="s">
        <v>18</v>
      </c>
    </row>
    <row r="1203" spans="16:19" x14ac:dyDescent="0.2">
      <c r="P1203">
        <v>84.0118383846618</v>
      </c>
      <c r="S1203">
        <v>0.17499999999999999</v>
      </c>
    </row>
    <row r="1204" spans="16:19" x14ac:dyDescent="0.2">
      <c r="P1204">
        <v>69.941678884169406</v>
      </c>
      <c r="S1204">
        <v>15.169</v>
      </c>
    </row>
    <row r="1205" spans="16:19" x14ac:dyDescent="0.2">
      <c r="P1205">
        <v>41.414042943883402</v>
      </c>
      <c r="S1205">
        <v>0</v>
      </c>
    </row>
    <row r="1206" spans="16:19" x14ac:dyDescent="0.2">
      <c r="P1206">
        <v>54.966690629830097</v>
      </c>
      <c r="S1206">
        <v>100</v>
      </c>
    </row>
    <row r="1207" spans="16:19" x14ac:dyDescent="0.2">
      <c r="P1207">
        <v>66.295967629950496</v>
      </c>
      <c r="S1207">
        <v>100</v>
      </c>
    </row>
    <row r="1208" spans="16:19" x14ac:dyDescent="0.2">
      <c r="P1208">
        <v>73.486998949805098</v>
      </c>
      <c r="S1208">
        <v>100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5BCA-A826-E449-B941-A24994F8D0B6}">
  <dimension ref="A1:R74"/>
  <sheetViews>
    <sheetView zoomScale="64" workbookViewId="0">
      <selection activeCell="A42" sqref="A42"/>
    </sheetView>
  </sheetViews>
  <sheetFormatPr baseColWidth="10" defaultColWidth="8.83203125" defaultRowHeight="15" x14ac:dyDescent="0.2"/>
  <cols>
    <col min="1" max="1" width="19.6640625" customWidth="1"/>
    <col min="2" max="2" width="17.1640625" customWidth="1"/>
    <col min="5" max="5" width="11.83203125" bestFit="1" customWidth="1"/>
  </cols>
  <sheetData>
    <row r="1" spans="1:18" x14ac:dyDescent="0.2">
      <c r="A1" t="s">
        <v>88</v>
      </c>
      <c r="B1" t="s">
        <v>89</v>
      </c>
    </row>
    <row r="2" spans="1:18" x14ac:dyDescent="0.2">
      <c r="A2" t="s">
        <v>90</v>
      </c>
      <c r="B2" s="5" t="s">
        <v>49</v>
      </c>
    </row>
    <row r="3" spans="1:18" x14ac:dyDescent="0.2">
      <c r="A3" t="s">
        <v>91</v>
      </c>
      <c r="B3" t="s">
        <v>17</v>
      </c>
      <c r="K3" s="5"/>
      <c r="M3" s="5"/>
      <c r="O3" s="5"/>
    </row>
    <row r="4" spans="1:18" x14ac:dyDescent="0.2">
      <c r="A4" t="s">
        <v>92</v>
      </c>
      <c r="B4" t="s">
        <v>26</v>
      </c>
      <c r="K4" s="5"/>
      <c r="M4" s="5"/>
      <c r="O4" s="5"/>
    </row>
    <row r="5" spans="1:18" x14ac:dyDescent="0.2">
      <c r="A5" t="s">
        <v>93</v>
      </c>
      <c r="B5" t="s">
        <v>27</v>
      </c>
      <c r="K5" s="5"/>
      <c r="M5" s="5"/>
      <c r="O5" s="5"/>
    </row>
    <row r="6" spans="1:18" x14ac:dyDescent="0.2">
      <c r="A6" t="s">
        <v>94</v>
      </c>
      <c r="B6" t="s">
        <v>28</v>
      </c>
      <c r="M6" t="s">
        <v>58</v>
      </c>
      <c r="O6" s="5"/>
    </row>
    <row r="7" spans="1:18" x14ac:dyDescent="0.2">
      <c r="A7" t="s">
        <v>95</v>
      </c>
      <c r="B7" t="s">
        <v>29</v>
      </c>
      <c r="M7" t="s">
        <v>59</v>
      </c>
      <c r="O7" s="5"/>
      <c r="Q7" t="s">
        <v>96</v>
      </c>
    </row>
    <row r="8" spans="1:18" x14ac:dyDescent="0.2">
      <c r="A8" t="s">
        <v>97</v>
      </c>
      <c r="B8" t="s">
        <v>59</v>
      </c>
      <c r="M8" t="s">
        <v>60</v>
      </c>
      <c r="O8" s="5"/>
      <c r="P8" t="s">
        <v>97</v>
      </c>
      <c r="Q8" t="s">
        <v>59</v>
      </c>
      <c r="R8" t="s">
        <v>98</v>
      </c>
    </row>
    <row r="9" spans="1:18" x14ac:dyDescent="0.2">
      <c r="A9" t="s">
        <v>99</v>
      </c>
      <c r="B9" t="s">
        <v>30</v>
      </c>
      <c r="M9" t="s">
        <v>61</v>
      </c>
      <c r="O9" s="5"/>
      <c r="P9" t="s">
        <v>100</v>
      </c>
      <c r="Q9" t="s">
        <v>82</v>
      </c>
    </row>
    <row r="10" spans="1:18" x14ac:dyDescent="0.2">
      <c r="A10" t="s">
        <v>101</v>
      </c>
      <c r="B10" t="s">
        <v>31</v>
      </c>
      <c r="M10" t="s">
        <v>62</v>
      </c>
      <c r="O10" s="5"/>
      <c r="P10" t="s">
        <v>102</v>
      </c>
      <c r="Q10" t="s">
        <v>66</v>
      </c>
      <c r="R10" t="s">
        <v>98</v>
      </c>
    </row>
    <row r="11" spans="1:18" x14ac:dyDescent="0.2">
      <c r="A11" t="s">
        <v>103</v>
      </c>
      <c r="B11" t="s">
        <v>33</v>
      </c>
      <c r="M11" t="s">
        <v>66</v>
      </c>
      <c r="O11" s="5"/>
      <c r="P11" t="s">
        <v>104</v>
      </c>
      <c r="Q11" t="s">
        <v>81</v>
      </c>
    </row>
    <row r="12" spans="1:18" x14ac:dyDescent="0.2">
      <c r="A12" t="s">
        <v>105</v>
      </c>
      <c r="B12" t="s">
        <v>34</v>
      </c>
      <c r="M12" t="s">
        <v>67</v>
      </c>
      <c r="O12" s="5"/>
      <c r="P12" t="s">
        <v>106</v>
      </c>
      <c r="Q12" t="s">
        <v>85</v>
      </c>
    </row>
    <row r="13" spans="1:18" x14ac:dyDescent="0.2">
      <c r="A13" t="s">
        <v>107</v>
      </c>
      <c r="B13" t="s">
        <v>35</v>
      </c>
      <c r="M13" t="s">
        <v>70</v>
      </c>
      <c r="O13" s="5"/>
      <c r="P13" t="s">
        <v>108</v>
      </c>
      <c r="Q13" t="s">
        <v>84</v>
      </c>
    </row>
    <row r="14" spans="1:18" x14ac:dyDescent="0.2">
      <c r="A14" t="s">
        <v>109</v>
      </c>
      <c r="B14" t="s">
        <v>37</v>
      </c>
      <c r="M14" t="s">
        <v>71</v>
      </c>
      <c r="O14" s="5"/>
      <c r="P14" t="s">
        <v>110</v>
      </c>
      <c r="Q14" t="s">
        <v>83</v>
      </c>
    </row>
    <row r="15" spans="1:18" x14ac:dyDescent="0.2">
      <c r="A15" t="s">
        <v>111</v>
      </c>
      <c r="B15" t="s">
        <v>36</v>
      </c>
      <c r="M15" t="s">
        <v>72</v>
      </c>
    </row>
    <row r="16" spans="1:18" x14ac:dyDescent="0.2">
      <c r="A16" t="s">
        <v>112</v>
      </c>
      <c r="B16" t="s">
        <v>38</v>
      </c>
      <c r="M16" t="s">
        <v>79</v>
      </c>
      <c r="O16" s="5"/>
    </row>
    <row r="17" spans="1:2" x14ac:dyDescent="0.2">
      <c r="A17" t="s">
        <v>113</v>
      </c>
      <c r="B17" t="s">
        <v>39</v>
      </c>
    </row>
    <row r="18" spans="1:2" x14ac:dyDescent="0.2">
      <c r="A18" t="s">
        <v>114</v>
      </c>
      <c r="B18" t="s">
        <v>40</v>
      </c>
    </row>
    <row r="19" spans="1:2" x14ac:dyDescent="0.2">
      <c r="A19" t="s">
        <v>115</v>
      </c>
      <c r="B19" t="s">
        <v>44</v>
      </c>
    </row>
    <row r="20" spans="1:2" x14ac:dyDescent="0.2">
      <c r="A20" t="s">
        <v>116</v>
      </c>
      <c r="B20" t="s">
        <v>41</v>
      </c>
    </row>
    <row r="21" spans="1:2" x14ac:dyDescent="0.2">
      <c r="A21" t="s">
        <v>117</v>
      </c>
      <c r="B21" s="5" t="s">
        <v>45</v>
      </c>
    </row>
    <row r="22" spans="1:2" x14ac:dyDescent="0.2">
      <c r="A22" t="s">
        <v>118</v>
      </c>
      <c r="B22" t="s">
        <v>46</v>
      </c>
    </row>
    <row r="23" spans="1:2" x14ac:dyDescent="0.2">
      <c r="A23" t="s">
        <v>119</v>
      </c>
      <c r="B23" t="s">
        <v>43</v>
      </c>
    </row>
    <row r="24" spans="1:2" x14ac:dyDescent="0.2">
      <c r="A24" t="s">
        <v>120</v>
      </c>
      <c r="B24" t="s">
        <v>47</v>
      </c>
    </row>
    <row r="25" spans="1:2" x14ac:dyDescent="0.2">
      <c r="A25" t="s">
        <v>121</v>
      </c>
      <c r="B25" t="s">
        <v>48</v>
      </c>
    </row>
    <row r="26" spans="1:2" x14ac:dyDescent="0.2">
      <c r="A26" t="s">
        <v>100</v>
      </c>
      <c r="B26" t="s">
        <v>82</v>
      </c>
    </row>
    <row r="27" spans="1:2" x14ac:dyDescent="0.2">
      <c r="A27" t="s">
        <v>102</v>
      </c>
      <c r="B27" t="s">
        <v>66</v>
      </c>
    </row>
    <row r="28" spans="1:2" x14ac:dyDescent="0.2">
      <c r="A28" t="s">
        <v>104</v>
      </c>
      <c r="B28" t="s">
        <v>122</v>
      </c>
    </row>
    <row r="29" spans="1:2" x14ac:dyDescent="0.2">
      <c r="A29" t="s">
        <v>106</v>
      </c>
      <c r="B29" t="s">
        <v>85</v>
      </c>
    </row>
    <row r="30" spans="1:2" x14ac:dyDescent="0.2">
      <c r="A30" t="s">
        <v>123</v>
      </c>
      <c r="B30" s="5" t="s">
        <v>32</v>
      </c>
    </row>
    <row r="31" spans="1:2" x14ac:dyDescent="0.2">
      <c r="A31" t="s">
        <v>108</v>
      </c>
      <c r="B31" t="s">
        <v>84</v>
      </c>
    </row>
    <row r="32" spans="1:2" x14ac:dyDescent="0.2">
      <c r="A32" t="s">
        <v>110</v>
      </c>
      <c r="B32" t="s">
        <v>83</v>
      </c>
    </row>
    <row r="33" spans="1:2" x14ac:dyDescent="0.2">
      <c r="A33" t="s">
        <v>124</v>
      </c>
      <c r="B33" s="5" t="s">
        <v>50</v>
      </c>
    </row>
    <row r="34" spans="1:2" x14ac:dyDescent="0.2">
      <c r="A34" t="s">
        <v>125</v>
      </c>
      <c r="B34" s="5" t="s">
        <v>42</v>
      </c>
    </row>
    <row r="35" spans="1:2" x14ac:dyDescent="0.2">
      <c r="A35" t="s">
        <v>126</v>
      </c>
      <c r="B35" s="5" t="s">
        <v>51</v>
      </c>
    </row>
    <row r="36" spans="1:2" x14ac:dyDescent="0.2">
      <c r="A36" t="s">
        <v>127</v>
      </c>
      <c r="B36" t="s">
        <v>52</v>
      </c>
    </row>
    <row r="37" spans="1:2" x14ac:dyDescent="0.2">
      <c r="A37" t="s">
        <v>128</v>
      </c>
      <c r="B37" s="5" t="s">
        <v>53</v>
      </c>
    </row>
    <row r="38" spans="1:2" x14ac:dyDescent="0.2">
      <c r="A38" t="s">
        <v>129</v>
      </c>
      <c r="B38" s="5" t="s">
        <v>54</v>
      </c>
    </row>
    <row r="39" spans="1:2" x14ac:dyDescent="0.2">
      <c r="A39" t="s">
        <v>130</v>
      </c>
      <c r="B39" s="5" t="s">
        <v>55</v>
      </c>
    </row>
    <row r="40" spans="1:2" x14ac:dyDescent="0.2">
      <c r="A40" t="s">
        <v>131</v>
      </c>
      <c r="B40" s="5" t="s">
        <v>56</v>
      </c>
    </row>
    <row r="41" spans="1:2" x14ac:dyDescent="0.2">
      <c r="A41" t="s">
        <v>132</v>
      </c>
      <c r="B41" s="5" t="s">
        <v>57</v>
      </c>
    </row>
    <row r="42" spans="1:2" x14ac:dyDescent="0.2">
      <c r="A42" t="s">
        <v>133</v>
      </c>
      <c r="B42" s="6" t="s">
        <v>63</v>
      </c>
    </row>
    <row r="43" spans="1:2" x14ac:dyDescent="0.2">
      <c r="A43" t="s">
        <v>134</v>
      </c>
      <c r="B43" s="6" t="s">
        <v>64</v>
      </c>
    </row>
    <row r="44" spans="1:2" x14ac:dyDescent="0.2">
      <c r="A44" t="s">
        <v>135</v>
      </c>
      <c r="B44" s="6" t="s">
        <v>65</v>
      </c>
    </row>
    <row r="45" spans="1:2" x14ac:dyDescent="0.2">
      <c r="A45" t="s">
        <v>136</v>
      </c>
      <c r="B45" s="6" t="s">
        <v>73</v>
      </c>
    </row>
    <row r="46" spans="1:2" x14ac:dyDescent="0.2">
      <c r="A46" t="s">
        <v>137</v>
      </c>
      <c r="B46" s="6" t="s">
        <v>74</v>
      </c>
    </row>
    <row r="47" spans="1:2" x14ac:dyDescent="0.2">
      <c r="A47" t="s">
        <v>138</v>
      </c>
      <c r="B47" s="6" t="s">
        <v>75</v>
      </c>
    </row>
    <row r="48" spans="1:2" x14ac:dyDescent="0.2">
      <c r="A48" t="s">
        <v>139</v>
      </c>
      <c r="B48" s="6" t="s">
        <v>76</v>
      </c>
    </row>
    <row r="49" spans="1:9" x14ac:dyDescent="0.2">
      <c r="A49" t="s">
        <v>140</v>
      </c>
      <c r="B49" s="6" t="s">
        <v>77</v>
      </c>
    </row>
    <row r="50" spans="1:9" x14ac:dyDescent="0.2">
      <c r="A50" t="s">
        <v>141</v>
      </c>
      <c r="B50" s="6" t="s">
        <v>78</v>
      </c>
    </row>
    <row r="51" spans="1:9" x14ac:dyDescent="0.2">
      <c r="A51" t="s">
        <v>142</v>
      </c>
      <c r="B51" s="6" t="s">
        <v>80</v>
      </c>
    </row>
    <row r="52" spans="1:9" x14ac:dyDescent="0.2">
      <c r="A52" t="s">
        <v>143</v>
      </c>
      <c r="B52" s="6" t="s">
        <v>69</v>
      </c>
    </row>
    <row r="53" spans="1:9" x14ac:dyDescent="0.2">
      <c r="A53" t="s">
        <v>144</v>
      </c>
      <c r="B53" s="5" t="s">
        <v>68</v>
      </c>
    </row>
    <row r="55" spans="1:9" x14ac:dyDescent="0.2">
      <c r="I55" s="6"/>
    </row>
    <row r="60" spans="1:9" x14ac:dyDescent="0.2">
      <c r="H60" s="5"/>
    </row>
    <row r="61" spans="1:9" x14ac:dyDescent="0.2">
      <c r="H61" s="5"/>
    </row>
    <row r="62" spans="1:9" x14ac:dyDescent="0.2">
      <c r="H62" s="5"/>
    </row>
    <row r="63" spans="1:9" x14ac:dyDescent="0.2">
      <c r="H63" s="5"/>
    </row>
    <row r="64" spans="1:9" x14ac:dyDescent="0.2">
      <c r="H64" s="5"/>
    </row>
    <row r="69" spans="8:8" x14ac:dyDescent="0.2">
      <c r="H69" s="5"/>
    </row>
    <row r="70" spans="8:8" x14ac:dyDescent="0.2">
      <c r="H70" s="5"/>
    </row>
    <row r="71" spans="8:8" x14ac:dyDescent="0.2">
      <c r="H71" s="5"/>
    </row>
    <row r="72" spans="8:8" x14ac:dyDescent="0.2">
      <c r="H72" s="5"/>
    </row>
    <row r="73" spans="8:8" x14ac:dyDescent="0.2">
      <c r="H73" s="5"/>
    </row>
    <row r="74" spans="8:8" x14ac:dyDescent="0.2">
      <c r="H7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8687-68A5-5E48-96F9-BB72221476EA}">
  <dimension ref="B2:H1360"/>
  <sheetViews>
    <sheetView zoomScale="89" workbookViewId="0">
      <selection activeCell="J11" sqref="J11"/>
    </sheetView>
  </sheetViews>
  <sheetFormatPr baseColWidth="10" defaultColWidth="8.83203125" defaultRowHeight="15" x14ac:dyDescent="0.2"/>
  <sheetData>
    <row r="2" spans="2:8" x14ac:dyDescent="0.2">
      <c r="B2" s="4">
        <v>38322</v>
      </c>
      <c r="D2" t="s">
        <v>19</v>
      </c>
      <c r="E2" s="4">
        <v>38322</v>
      </c>
      <c r="H2">
        <f>YEAR(B2)</f>
        <v>2004</v>
      </c>
    </row>
    <row r="3" spans="2:8" x14ac:dyDescent="0.2">
      <c r="B3" s="4">
        <v>38687</v>
      </c>
      <c r="D3" t="s">
        <v>20</v>
      </c>
      <c r="H3">
        <f t="shared" ref="H3:H66" si="0">YEAR(B3)</f>
        <v>2005</v>
      </c>
    </row>
    <row r="4" spans="2:8" x14ac:dyDescent="0.2">
      <c r="B4" s="4">
        <v>39052</v>
      </c>
      <c r="D4" t="s">
        <v>9</v>
      </c>
      <c r="H4">
        <f t="shared" si="0"/>
        <v>2006</v>
      </c>
    </row>
    <row r="5" spans="2:8" x14ac:dyDescent="0.2">
      <c r="B5" s="4">
        <v>39417</v>
      </c>
      <c r="D5" t="s">
        <v>22</v>
      </c>
      <c r="H5">
        <f t="shared" si="0"/>
        <v>2007</v>
      </c>
    </row>
    <row r="6" spans="2:8" x14ac:dyDescent="0.2">
      <c r="B6" s="4">
        <v>39783</v>
      </c>
      <c r="D6" t="s">
        <v>3</v>
      </c>
      <c r="H6">
        <f t="shared" si="0"/>
        <v>2008</v>
      </c>
    </row>
    <row r="7" spans="2:8" x14ac:dyDescent="0.2">
      <c r="B7" s="4">
        <v>40148</v>
      </c>
      <c r="D7" t="s">
        <v>15</v>
      </c>
      <c r="H7">
        <f t="shared" si="0"/>
        <v>2009</v>
      </c>
    </row>
    <row r="8" spans="2:8" x14ac:dyDescent="0.2">
      <c r="B8" s="4">
        <v>40513</v>
      </c>
      <c r="D8" s="2" t="s">
        <v>23</v>
      </c>
      <c r="H8">
        <f t="shared" si="0"/>
        <v>2010</v>
      </c>
    </row>
    <row r="9" spans="2:8" x14ac:dyDescent="0.2">
      <c r="B9" s="4">
        <v>40878</v>
      </c>
      <c r="D9" t="s">
        <v>25</v>
      </c>
      <c r="H9">
        <f t="shared" si="0"/>
        <v>2011</v>
      </c>
    </row>
    <row r="10" spans="2:8" x14ac:dyDescent="0.2">
      <c r="B10" s="4">
        <v>41244</v>
      </c>
      <c r="H10">
        <f t="shared" si="0"/>
        <v>2012</v>
      </c>
    </row>
    <row r="11" spans="2:8" x14ac:dyDescent="0.2">
      <c r="B11" s="4">
        <v>41609</v>
      </c>
      <c r="H11">
        <f t="shared" si="0"/>
        <v>2013</v>
      </c>
    </row>
    <row r="12" spans="2:8" x14ac:dyDescent="0.2">
      <c r="B12" s="4">
        <v>41974</v>
      </c>
      <c r="H12">
        <f t="shared" si="0"/>
        <v>2014</v>
      </c>
    </row>
    <row r="13" spans="2:8" x14ac:dyDescent="0.2">
      <c r="B13" s="4">
        <v>42339</v>
      </c>
      <c r="H13">
        <f t="shared" si="0"/>
        <v>2015</v>
      </c>
    </row>
    <row r="14" spans="2:8" x14ac:dyDescent="0.2">
      <c r="B14" s="4">
        <v>42705</v>
      </c>
      <c r="D14" t="s">
        <v>24</v>
      </c>
      <c r="H14">
        <f t="shared" si="0"/>
        <v>2016</v>
      </c>
    </row>
    <row r="15" spans="2:8" x14ac:dyDescent="0.2">
      <c r="B15" s="4">
        <v>43070</v>
      </c>
      <c r="D15" t="s">
        <v>10</v>
      </c>
      <c r="H15">
        <f t="shared" si="0"/>
        <v>2017</v>
      </c>
    </row>
    <row r="16" spans="2:8" x14ac:dyDescent="0.2">
      <c r="B16" s="4">
        <v>43435</v>
      </c>
      <c r="D16" t="s">
        <v>12</v>
      </c>
      <c r="H16">
        <f t="shared" si="0"/>
        <v>2018</v>
      </c>
    </row>
    <row r="17" spans="2:8" x14ac:dyDescent="0.2">
      <c r="B17" s="4">
        <v>43800</v>
      </c>
      <c r="D17" t="s">
        <v>21</v>
      </c>
      <c r="H17">
        <f t="shared" si="0"/>
        <v>2019</v>
      </c>
    </row>
    <row r="18" spans="2:8" x14ac:dyDescent="0.2">
      <c r="B18" s="4">
        <v>44166</v>
      </c>
      <c r="D18" t="s">
        <v>7</v>
      </c>
      <c r="H18">
        <f t="shared" si="0"/>
        <v>2020</v>
      </c>
    </row>
    <row r="19" spans="2:8" x14ac:dyDescent="0.2">
      <c r="B19" s="4">
        <v>44531</v>
      </c>
      <c r="H19">
        <f t="shared" si="0"/>
        <v>2021</v>
      </c>
    </row>
    <row r="20" spans="2:8" x14ac:dyDescent="0.2">
      <c r="B20" s="4">
        <v>44896</v>
      </c>
      <c r="H20">
        <f t="shared" si="0"/>
        <v>2022</v>
      </c>
    </row>
    <row r="21" spans="2:8" x14ac:dyDescent="0.2">
      <c r="B21" s="4">
        <v>45261</v>
      </c>
      <c r="H21">
        <f t="shared" si="0"/>
        <v>2023</v>
      </c>
    </row>
    <row r="22" spans="2:8" x14ac:dyDescent="0.2">
      <c r="B22" s="4">
        <v>45627</v>
      </c>
      <c r="H22">
        <f t="shared" si="0"/>
        <v>2024</v>
      </c>
    </row>
    <row r="23" spans="2:8" x14ac:dyDescent="0.2">
      <c r="B23" s="4">
        <v>45992</v>
      </c>
      <c r="H23">
        <f t="shared" si="0"/>
        <v>2025</v>
      </c>
    </row>
    <row r="24" spans="2:8" x14ac:dyDescent="0.2">
      <c r="B24" s="4">
        <v>38322</v>
      </c>
      <c r="H24">
        <f t="shared" si="0"/>
        <v>2004</v>
      </c>
    </row>
    <row r="25" spans="2:8" x14ac:dyDescent="0.2">
      <c r="B25" s="4">
        <v>38687</v>
      </c>
      <c r="H25">
        <f t="shared" si="0"/>
        <v>2005</v>
      </c>
    </row>
    <row r="26" spans="2:8" x14ac:dyDescent="0.2">
      <c r="B26" s="4">
        <v>39052</v>
      </c>
      <c r="H26">
        <f t="shared" si="0"/>
        <v>2006</v>
      </c>
    </row>
    <row r="27" spans="2:8" x14ac:dyDescent="0.2">
      <c r="B27" s="4">
        <v>39417</v>
      </c>
      <c r="H27">
        <f t="shared" si="0"/>
        <v>2007</v>
      </c>
    </row>
    <row r="28" spans="2:8" x14ac:dyDescent="0.2">
      <c r="B28" s="4">
        <v>39783</v>
      </c>
      <c r="H28">
        <f t="shared" si="0"/>
        <v>2008</v>
      </c>
    </row>
    <row r="29" spans="2:8" x14ac:dyDescent="0.2">
      <c r="B29" s="4">
        <v>40148</v>
      </c>
      <c r="H29">
        <f t="shared" si="0"/>
        <v>2009</v>
      </c>
    </row>
    <row r="30" spans="2:8" x14ac:dyDescent="0.2">
      <c r="B30" s="4">
        <v>40513</v>
      </c>
      <c r="H30">
        <f t="shared" si="0"/>
        <v>2010</v>
      </c>
    </row>
    <row r="31" spans="2:8" x14ac:dyDescent="0.2">
      <c r="B31" s="4">
        <v>40878</v>
      </c>
      <c r="H31">
        <f t="shared" si="0"/>
        <v>2011</v>
      </c>
    </row>
    <row r="32" spans="2:8" x14ac:dyDescent="0.2">
      <c r="B32" s="4">
        <v>41244</v>
      </c>
      <c r="H32">
        <f t="shared" si="0"/>
        <v>2012</v>
      </c>
    </row>
    <row r="33" spans="2:8" x14ac:dyDescent="0.2">
      <c r="B33" s="4">
        <v>41609</v>
      </c>
      <c r="H33">
        <f t="shared" si="0"/>
        <v>2013</v>
      </c>
    </row>
    <row r="34" spans="2:8" x14ac:dyDescent="0.2">
      <c r="B34" s="4">
        <v>41974</v>
      </c>
      <c r="H34">
        <f t="shared" si="0"/>
        <v>2014</v>
      </c>
    </row>
    <row r="35" spans="2:8" x14ac:dyDescent="0.2">
      <c r="B35" s="4">
        <v>42339</v>
      </c>
      <c r="H35">
        <f t="shared" si="0"/>
        <v>2015</v>
      </c>
    </row>
    <row r="36" spans="2:8" x14ac:dyDescent="0.2">
      <c r="B36" s="4">
        <v>42705</v>
      </c>
      <c r="H36">
        <f t="shared" si="0"/>
        <v>2016</v>
      </c>
    </row>
    <row r="37" spans="2:8" x14ac:dyDescent="0.2">
      <c r="B37" s="4">
        <v>43070</v>
      </c>
      <c r="H37">
        <f t="shared" si="0"/>
        <v>2017</v>
      </c>
    </row>
    <row r="38" spans="2:8" x14ac:dyDescent="0.2">
      <c r="B38" s="4">
        <v>43435</v>
      </c>
      <c r="H38">
        <f t="shared" si="0"/>
        <v>2018</v>
      </c>
    </row>
    <row r="39" spans="2:8" x14ac:dyDescent="0.2">
      <c r="B39" s="4">
        <v>43800</v>
      </c>
      <c r="H39">
        <f t="shared" si="0"/>
        <v>2019</v>
      </c>
    </row>
    <row r="40" spans="2:8" x14ac:dyDescent="0.2">
      <c r="B40" s="4">
        <v>44166</v>
      </c>
      <c r="H40">
        <f t="shared" si="0"/>
        <v>2020</v>
      </c>
    </row>
    <row r="41" spans="2:8" x14ac:dyDescent="0.2">
      <c r="B41" s="4">
        <v>44531</v>
      </c>
      <c r="H41">
        <f t="shared" si="0"/>
        <v>2021</v>
      </c>
    </row>
    <row r="42" spans="2:8" x14ac:dyDescent="0.2">
      <c r="B42" s="4">
        <v>44896</v>
      </c>
      <c r="H42">
        <f t="shared" si="0"/>
        <v>2022</v>
      </c>
    </row>
    <row r="43" spans="2:8" x14ac:dyDescent="0.2">
      <c r="B43" s="4">
        <v>45261</v>
      </c>
      <c r="H43">
        <f t="shared" si="0"/>
        <v>2023</v>
      </c>
    </row>
    <row r="44" spans="2:8" x14ac:dyDescent="0.2">
      <c r="B44" s="4">
        <v>45627</v>
      </c>
      <c r="H44">
        <f t="shared" si="0"/>
        <v>2024</v>
      </c>
    </row>
    <row r="45" spans="2:8" x14ac:dyDescent="0.2">
      <c r="B45" s="4">
        <v>45992</v>
      </c>
      <c r="H45">
        <f t="shared" si="0"/>
        <v>2025</v>
      </c>
    </row>
    <row r="46" spans="2:8" x14ac:dyDescent="0.2">
      <c r="B46" s="4">
        <v>38322</v>
      </c>
      <c r="H46">
        <f t="shared" si="0"/>
        <v>2004</v>
      </c>
    </row>
    <row r="47" spans="2:8" x14ac:dyDescent="0.2">
      <c r="B47" s="4">
        <v>38687</v>
      </c>
      <c r="H47">
        <f t="shared" si="0"/>
        <v>2005</v>
      </c>
    </row>
    <row r="48" spans="2:8" x14ac:dyDescent="0.2">
      <c r="B48" s="4">
        <v>39052</v>
      </c>
      <c r="H48">
        <f t="shared" si="0"/>
        <v>2006</v>
      </c>
    </row>
    <row r="49" spans="2:8" x14ac:dyDescent="0.2">
      <c r="B49" s="4">
        <v>39417</v>
      </c>
      <c r="H49">
        <f t="shared" si="0"/>
        <v>2007</v>
      </c>
    </row>
    <row r="50" spans="2:8" x14ac:dyDescent="0.2">
      <c r="B50" s="4">
        <v>39783</v>
      </c>
      <c r="H50">
        <f t="shared" si="0"/>
        <v>2008</v>
      </c>
    </row>
    <row r="51" spans="2:8" x14ac:dyDescent="0.2">
      <c r="B51" s="4">
        <v>40148</v>
      </c>
      <c r="H51">
        <f t="shared" si="0"/>
        <v>2009</v>
      </c>
    </row>
    <row r="52" spans="2:8" x14ac:dyDescent="0.2">
      <c r="B52" s="4">
        <v>40513</v>
      </c>
      <c r="H52">
        <f t="shared" si="0"/>
        <v>2010</v>
      </c>
    </row>
    <row r="53" spans="2:8" x14ac:dyDescent="0.2">
      <c r="B53" s="4">
        <v>40878</v>
      </c>
      <c r="H53">
        <f t="shared" si="0"/>
        <v>2011</v>
      </c>
    </row>
    <row r="54" spans="2:8" x14ac:dyDescent="0.2">
      <c r="B54" s="4">
        <v>41244</v>
      </c>
      <c r="H54">
        <f t="shared" si="0"/>
        <v>2012</v>
      </c>
    </row>
    <row r="55" spans="2:8" x14ac:dyDescent="0.2">
      <c r="B55" s="4">
        <v>41609</v>
      </c>
      <c r="H55">
        <f t="shared" si="0"/>
        <v>2013</v>
      </c>
    </row>
    <row r="56" spans="2:8" x14ac:dyDescent="0.2">
      <c r="B56" s="4">
        <v>41974</v>
      </c>
      <c r="H56">
        <f t="shared" si="0"/>
        <v>2014</v>
      </c>
    </row>
    <row r="57" spans="2:8" x14ac:dyDescent="0.2">
      <c r="B57" s="4">
        <v>42339</v>
      </c>
      <c r="H57">
        <f t="shared" si="0"/>
        <v>2015</v>
      </c>
    </row>
    <row r="58" spans="2:8" x14ac:dyDescent="0.2">
      <c r="B58" s="4">
        <v>42705</v>
      </c>
      <c r="H58">
        <f t="shared" si="0"/>
        <v>2016</v>
      </c>
    </row>
    <row r="59" spans="2:8" x14ac:dyDescent="0.2">
      <c r="B59" s="4">
        <v>43070</v>
      </c>
      <c r="H59">
        <f t="shared" si="0"/>
        <v>2017</v>
      </c>
    </row>
    <row r="60" spans="2:8" x14ac:dyDescent="0.2">
      <c r="B60" s="4">
        <v>43435</v>
      </c>
      <c r="H60">
        <f t="shared" si="0"/>
        <v>2018</v>
      </c>
    </row>
    <row r="61" spans="2:8" x14ac:dyDescent="0.2">
      <c r="B61" s="4">
        <v>43800</v>
      </c>
      <c r="H61">
        <f t="shared" si="0"/>
        <v>2019</v>
      </c>
    </row>
    <row r="62" spans="2:8" x14ac:dyDescent="0.2">
      <c r="B62" s="4">
        <v>44166</v>
      </c>
      <c r="H62">
        <f t="shared" si="0"/>
        <v>2020</v>
      </c>
    </row>
    <row r="63" spans="2:8" x14ac:dyDescent="0.2">
      <c r="B63" s="4">
        <v>44531</v>
      </c>
      <c r="H63">
        <f t="shared" si="0"/>
        <v>2021</v>
      </c>
    </row>
    <row r="64" spans="2:8" x14ac:dyDescent="0.2">
      <c r="B64" s="4">
        <v>44896</v>
      </c>
      <c r="H64">
        <f t="shared" si="0"/>
        <v>2022</v>
      </c>
    </row>
    <row r="65" spans="2:8" x14ac:dyDescent="0.2">
      <c r="B65" s="4">
        <v>45261</v>
      </c>
      <c r="H65">
        <f t="shared" si="0"/>
        <v>2023</v>
      </c>
    </row>
    <row r="66" spans="2:8" x14ac:dyDescent="0.2">
      <c r="B66" s="4">
        <v>45627</v>
      </c>
      <c r="H66">
        <f t="shared" si="0"/>
        <v>2024</v>
      </c>
    </row>
    <row r="67" spans="2:8" x14ac:dyDescent="0.2">
      <c r="B67" s="4">
        <v>45992</v>
      </c>
      <c r="H67">
        <f t="shared" ref="H67:H130" si="1">YEAR(B67)</f>
        <v>2025</v>
      </c>
    </row>
    <row r="68" spans="2:8" x14ac:dyDescent="0.2">
      <c r="B68" s="4">
        <v>38322</v>
      </c>
      <c r="H68">
        <f t="shared" si="1"/>
        <v>2004</v>
      </c>
    </row>
    <row r="69" spans="2:8" x14ac:dyDescent="0.2">
      <c r="B69" s="4">
        <v>38687</v>
      </c>
      <c r="H69">
        <f t="shared" si="1"/>
        <v>2005</v>
      </c>
    </row>
    <row r="70" spans="2:8" x14ac:dyDescent="0.2">
      <c r="B70" s="4">
        <v>39052</v>
      </c>
      <c r="H70">
        <f t="shared" si="1"/>
        <v>2006</v>
      </c>
    </row>
    <row r="71" spans="2:8" x14ac:dyDescent="0.2">
      <c r="B71" s="4">
        <v>39417</v>
      </c>
      <c r="H71">
        <f t="shared" si="1"/>
        <v>2007</v>
      </c>
    </row>
    <row r="72" spans="2:8" x14ac:dyDescent="0.2">
      <c r="B72" s="4">
        <v>39783</v>
      </c>
      <c r="H72">
        <f t="shared" si="1"/>
        <v>2008</v>
      </c>
    </row>
    <row r="73" spans="2:8" x14ac:dyDescent="0.2">
      <c r="B73" s="4">
        <v>40148</v>
      </c>
      <c r="H73">
        <f t="shared" si="1"/>
        <v>2009</v>
      </c>
    </row>
    <row r="74" spans="2:8" x14ac:dyDescent="0.2">
      <c r="B74" s="4">
        <v>40513</v>
      </c>
      <c r="H74">
        <f t="shared" si="1"/>
        <v>2010</v>
      </c>
    </row>
    <row r="75" spans="2:8" x14ac:dyDescent="0.2">
      <c r="B75" s="4">
        <v>40878</v>
      </c>
      <c r="H75">
        <f t="shared" si="1"/>
        <v>2011</v>
      </c>
    </row>
    <row r="76" spans="2:8" x14ac:dyDescent="0.2">
      <c r="B76" s="4">
        <v>41244</v>
      </c>
      <c r="H76">
        <f t="shared" si="1"/>
        <v>2012</v>
      </c>
    </row>
    <row r="77" spans="2:8" x14ac:dyDescent="0.2">
      <c r="B77" s="4">
        <v>41609</v>
      </c>
      <c r="H77">
        <f t="shared" si="1"/>
        <v>2013</v>
      </c>
    </row>
    <row r="78" spans="2:8" x14ac:dyDescent="0.2">
      <c r="B78" s="4">
        <v>41974</v>
      </c>
      <c r="H78">
        <f t="shared" si="1"/>
        <v>2014</v>
      </c>
    </row>
    <row r="79" spans="2:8" x14ac:dyDescent="0.2">
      <c r="B79" s="4">
        <v>42339</v>
      </c>
      <c r="H79">
        <f t="shared" si="1"/>
        <v>2015</v>
      </c>
    </row>
    <row r="80" spans="2:8" x14ac:dyDescent="0.2">
      <c r="B80" s="4">
        <v>42705</v>
      </c>
      <c r="H80">
        <f t="shared" si="1"/>
        <v>2016</v>
      </c>
    </row>
    <row r="81" spans="2:8" x14ac:dyDescent="0.2">
      <c r="B81" s="4">
        <v>43070</v>
      </c>
      <c r="H81">
        <f t="shared" si="1"/>
        <v>2017</v>
      </c>
    </row>
    <row r="82" spans="2:8" x14ac:dyDescent="0.2">
      <c r="B82" s="4">
        <v>43435</v>
      </c>
      <c r="H82">
        <f t="shared" si="1"/>
        <v>2018</v>
      </c>
    </row>
    <row r="83" spans="2:8" x14ac:dyDescent="0.2">
      <c r="B83" s="4">
        <v>43800</v>
      </c>
      <c r="H83">
        <f t="shared" si="1"/>
        <v>2019</v>
      </c>
    </row>
    <row r="84" spans="2:8" x14ac:dyDescent="0.2">
      <c r="B84" s="4">
        <v>44166</v>
      </c>
      <c r="H84">
        <f t="shared" si="1"/>
        <v>2020</v>
      </c>
    </row>
    <row r="85" spans="2:8" x14ac:dyDescent="0.2">
      <c r="B85" s="4">
        <v>44531</v>
      </c>
      <c r="H85">
        <f t="shared" si="1"/>
        <v>2021</v>
      </c>
    </row>
    <row r="86" spans="2:8" x14ac:dyDescent="0.2">
      <c r="B86" s="4">
        <v>44896</v>
      </c>
      <c r="H86">
        <f t="shared" si="1"/>
        <v>2022</v>
      </c>
    </row>
    <row r="87" spans="2:8" x14ac:dyDescent="0.2">
      <c r="B87" s="4">
        <v>45261</v>
      </c>
      <c r="H87">
        <f t="shared" si="1"/>
        <v>2023</v>
      </c>
    </row>
    <row r="88" spans="2:8" x14ac:dyDescent="0.2">
      <c r="B88" s="4">
        <v>45627</v>
      </c>
      <c r="H88">
        <f t="shared" si="1"/>
        <v>2024</v>
      </c>
    </row>
    <row r="89" spans="2:8" x14ac:dyDescent="0.2">
      <c r="B89" s="4">
        <v>45992</v>
      </c>
      <c r="H89">
        <f t="shared" si="1"/>
        <v>2025</v>
      </c>
    </row>
    <row r="90" spans="2:8" x14ac:dyDescent="0.2">
      <c r="B90" s="4">
        <v>38322</v>
      </c>
      <c r="H90">
        <f t="shared" si="1"/>
        <v>2004</v>
      </c>
    </row>
    <row r="91" spans="2:8" x14ac:dyDescent="0.2">
      <c r="B91" s="4">
        <v>38687</v>
      </c>
      <c r="H91">
        <f t="shared" si="1"/>
        <v>2005</v>
      </c>
    </row>
    <row r="92" spans="2:8" x14ac:dyDescent="0.2">
      <c r="B92" s="4">
        <v>39052</v>
      </c>
      <c r="H92">
        <f t="shared" si="1"/>
        <v>2006</v>
      </c>
    </row>
    <row r="93" spans="2:8" x14ac:dyDescent="0.2">
      <c r="B93" s="4">
        <v>39417</v>
      </c>
      <c r="H93">
        <f t="shared" si="1"/>
        <v>2007</v>
      </c>
    </row>
    <row r="94" spans="2:8" x14ac:dyDescent="0.2">
      <c r="B94" s="4">
        <v>39783</v>
      </c>
      <c r="H94">
        <f t="shared" si="1"/>
        <v>2008</v>
      </c>
    </row>
    <row r="95" spans="2:8" x14ac:dyDescent="0.2">
      <c r="B95" s="4">
        <v>40148</v>
      </c>
      <c r="H95">
        <f t="shared" si="1"/>
        <v>2009</v>
      </c>
    </row>
    <row r="96" spans="2:8" x14ac:dyDescent="0.2">
      <c r="B96" s="4">
        <v>40513</v>
      </c>
      <c r="H96">
        <f t="shared" si="1"/>
        <v>2010</v>
      </c>
    </row>
    <row r="97" spans="2:8" x14ac:dyDescent="0.2">
      <c r="B97" s="4">
        <v>40878</v>
      </c>
      <c r="H97">
        <f t="shared" si="1"/>
        <v>2011</v>
      </c>
    </row>
    <row r="98" spans="2:8" x14ac:dyDescent="0.2">
      <c r="B98" s="4">
        <v>41244</v>
      </c>
      <c r="H98">
        <f t="shared" si="1"/>
        <v>2012</v>
      </c>
    </row>
    <row r="99" spans="2:8" x14ac:dyDescent="0.2">
      <c r="B99" s="4">
        <v>41609</v>
      </c>
      <c r="H99">
        <f t="shared" si="1"/>
        <v>2013</v>
      </c>
    </row>
    <row r="100" spans="2:8" x14ac:dyDescent="0.2">
      <c r="B100" s="4">
        <v>41974</v>
      </c>
      <c r="H100">
        <f t="shared" si="1"/>
        <v>2014</v>
      </c>
    </row>
    <row r="101" spans="2:8" x14ac:dyDescent="0.2">
      <c r="B101" s="4">
        <v>42339</v>
      </c>
      <c r="H101">
        <f t="shared" si="1"/>
        <v>2015</v>
      </c>
    </row>
    <row r="102" spans="2:8" x14ac:dyDescent="0.2">
      <c r="B102" s="4">
        <v>42705</v>
      </c>
      <c r="H102">
        <f t="shared" si="1"/>
        <v>2016</v>
      </c>
    </row>
    <row r="103" spans="2:8" x14ac:dyDescent="0.2">
      <c r="B103" s="4">
        <v>43070</v>
      </c>
      <c r="H103">
        <f t="shared" si="1"/>
        <v>2017</v>
      </c>
    </row>
    <row r="104" spans="2:8" x14ac:dyDescent="0.2">
      <c r="B104" s="4">
        <v>43435</v>
      </c>
      <c r="H104">
        <f t="shared" si="1"/>
        <v>2018</v>
      </c>
    </row>
    <row r="105" spans="2:8" x14ac:dyDescent="0.2">
      <c r="B105" s="4">
        <v>43800</v>
      </c>
      <c r="H105">
        <f t="shared" si="1"/>
        <v>2019</v>
      </c>
    </row>
    <row r="106" spans="2:8" x14ac:dyDescent="0.2">
      <c r="B106" s="4">
        <v>44166</v>
      </c>
      <c r="H106">
        <f t="shared" si="1"/>
        <v>2020</v>
      </c>
    </row>
    <row r="107" spans="2:8" x14ac:dyDescent="0.2">
      <c r="B107" s="4">
        <v>44531</v>
      </c>
      <c r="H107">
        <f t="shared" si="1"/>
        <v>2021</v>
      </c>
    </row>
    <row r="108" spans="2:8" x14ac:dyDescent="0.2">
      <c r="B108" s="4">
        <v>44896</v>
      </c>
      <c r="H108">
        <f t="shared" si="1"/>
        <v>2022</v>
      </c>
    </row>
    <row r="109" spans="2:8" x14ac:dyDescent="0.2">
      <c r="B109" s="4">
        <v>45261</v>
      </c>
      <c r="H109">
        <f t="shared" si="1"/>
        <v>2023</v>
      </c>
    </row>
    <row r="110" spans="2:8" x14ac:dyDescent="0.2">
      <c r="B110" s="4">
        <v>45627</v>
      </c>
      <c r="H110">
        <f t="shared" si="1"/>
        <v>2024</v>
      </c>
    </row>
    <row r="111" spans="2:8" x14ac:dyDescent="0.2">
      <c r="B111" s="4">
        <v>45992</v>
      </c>
      <c r="H111">
        <f t="shared" si="1"/>
        <v>2025</v>
      </c>
    </row>
    <row r="112" spans="2:8" x14ac:dyDescent="0.2">
      <c r="B112" s="4">
        <v>38322</v>
      </c>
      <c r="H112">
        <f t="shared" si="1"/>
        <v>2004</v>
      </c>
    </row>
    <row r="113" spans="2:8" x14ac:dyDescent="0.2">
      <c r="B113" s="4">
        <v>38687</v>
      </c>
      <c r="H113">
        <f t="shared" si="1"/>
        <v>2005</v>
      </c>
    </row>
    <row r="114" spans="2:8" x14ac:dyDescent="0.2">
      <c r="B114" s="4">
        <v>39052</v>
      </c>
      <c r="H114">
        <f t="shared" si="1"/>
        <v>2006</v>
      </c>
    </row>
    <row r="115" spans="2:8" x14ac:dyDescent="0.2">
      <c r="B115" s="4">
        <v>39417</v>
      </c>
      <c r="H115">
        <f t="shared" si="1"/>
        <v>2007</v>
      </c>
    </row>
    <row r="116" spans="2:8" x14ac:dyDescent="0.2">
      <c r="B116" s="4">
        <v>39783</v>
      </c>
      <c r="H116">
        <f t="shared" si="1"/>
        <v>2008</v>
      </c>
    </row>
    <row r="117" spans="2:8" x14ac:dyDescent="0.2">
      <c r="B117" s="4">
        <v>40148</v>
      </c>
      <c r="H117">
        <f t="shared" si="1"/>
        <v>2009</v>
      </c>
    </row>
    <row r="118" spans="2:8" x14ac:dyDescent="0.2">
      <c r="B118" s="4">
        <v>40513</v>
      </c>
      <c r="H118">
        <f t="shared" si="1"/>
        <v>2010</v>
      </c>
    </row>
    <row r="119" spans="2:8" x14ac:dyDescent="0.2">
      <c r="B119" s="4">
        <v>40878</v>
      </c>
      <c r="H119">
        <f t="shared" si="1"/>
        <v>2011</v>
      </c>
    </row>
    <row r="120" spans="2:8" x14ac:dyDescent="0.2">
      <c r="B120" s="4">
        <v>41244</v>
      </c>
      <c r="H120">
        <f t="shared" si="1"/>
        <v>2012</v>
      </c>
    </row>
    <row r="121" spans="2:8" x14ac:dyDescent="0.2">
      <c r="B121" s="4">
        <v>41609</v>
      </c>
      <c r="H121">
        <f t="shared" si="1"/>
        <v>2013</v>
      </c>
    </row>
    <row r="122" spans="2:8" x14ac:dyDescent="0.2">
      <c r="B122" s="4">
        <v>41974</v>
      </c>
      <c r="H122">
        <f t="shared" si="1"/>
        <v>2014</v>
      </c>
    </row>
    <row r="123" spans="2:8" x14ac:dyDescent="0.2">
      <c r="B123" s="4">
        <v>42339</v>
      </c>
      <c r="H123">
        <f t="shared" si="1"/>
        <v>2015</v>
      </c>
    </row>
    <row r="124" spans="2:8" x14ac:dyDescent="0.2">
      <c r="B124" s="4">
        <v>42705</v>
      </c>
      <c r="H124">
        <f t="shared" si="1"/>
        <v>2016</v>
      </c>
    </row>
    <row r="125" spans="2:8" x14ac:dyDescent="0.2">
      <c r="B125" s="4">
        <v>43070</v>
      </c>
      <c r="H125">
        <f t="shared" si="1"/>
        <v>2017</v>
      </c>
    </row>
    <row r="126" spans="2:8" x14ac:dyDescent="0.2">
      <c r="B126" s="4">
        <v>43435</v>
      </c>
      <c r="H126">
        <f t="shared" si="1"/>
        <v>2018</v>
      </c>
    </row>
    <row r="127" spans="2:8" x14ac:dyDescent="0.2">
      <c r="B127" s="4">
        <v>43800</v>
      </c>
      <c r="H127">
        <f t="shared" si="1"/>
        <v>2019</v>
      </c>
    </row>
    <row r="128" spans="2:8" x14ac:dyDescent="0.2">
      <c r="B128" s="4">
        <v>44166</v>
      </c>
      <c r="H128">
        <f t="shared" si="1"/>
        <v>2020</v>
      </c>
    </row>
    <row r="129" spans="2:8" x14ac:dyDescent="0.2">
      <c r="B129" s="4">
        <v>44531</v>
      </c>
      <c r="H129">
        <f t="shared" si="1"/>
        <v>2021</v>
      </c>
    </row>
    <row r="130" spans="2:8" x14ac:dyDescent="0.2">
      <c r="B130" s="4">
        <v>44896</v>
      </c>
      <c r="H130">
        <f t="shared" si="1"/>
        <v>2022</v>
      </c>
    </row>
    <row r="131" spans="2:8" x14ac:dyDescent="0.2">
      <c r="B131" s="4">
        <v>45261</v>
      </c>
      <c r="H131">
        <f t="shared" ref="H131:H194" si="2">YEAR(B131)</f>
        <v>2023</v>
      </c>
    </row>
    <row r="132" spans="2:8" x14ac:dyDescent="0.2">
      <c r="B132" s="4">
        <v>45627</v>
      </c>
      <c r="H132">
        <f t="shared" si="2"/>
        <v>2024</v>
      </c>
    </row>
    <row r="133" spans="2:8" x14ac:dyDescent="0.2">
      <c r="B133" s="4">
        <v>45992</v>
      </c>
      <c r="H133">
        <f t="shared" si="2"/>
        <v>2025</v>
      </c>
    </row>
    <row r="134" spans="2:8" x14ac:dyDescent="0.2">
      <c r="B134" s="4">
        <v>38322</v>
      </c>
      <c r="H134">
        <f t="shared" si="2"/>
        <v>2004</v>
      </c>
    </row>
    <row r="135" spans="2:8" x14ac:dyDescent="0.2">
      <c r="B135" s="4">
        <v>38687</v>
      </c>
      <c r="H135">
        <f t="shared" si="2"/>
        <v>2005</v>
      </c>
    </row>
    <row r="136" spans="2:8" x14ac:dyDescent="0.2">
      <c r="B136" s="4">
        <v>39052</v>
      </c>
      <c r="H136">
        <f t="shared" si="2"/>
        <v>2006</v>
      </c>
    </row>
    <row r="137" spans="2:8" x14ac:dyDescent="0.2">
      <c r="B137" s="4">
        <v>39417</v>
      </c>
      <c r="H137">
        <f t="shared" si="2"/>
        <v>2007</v>
      </c>
    </row>
    <row r="138" spans="2:8" x14ac:dyDescent="0.2">
      <c r="B138" s="4">
        <v>39783</v>
      </c>
      <c r="H138">
        <f t="shared" si="2"/>
        <v>2008</v>
      </c>
    </row>
    <row r="139" spans="2:8" x14ac:dyDescent="0.2">
      <c r="B139" s="4">
        <v>40148</v>
      </c>
      <c r="H139">
        <f t="shared" si="2"/>
        <v>2009</v>
      </c>
    </row>
    <row r="140" spans="2:8" x14ac:dyDescent="0.2">
      <c r="B140" s="4">
        <v>40513</v>
      </c>
      <c r="H140">
        <f t="shared" si="2"/>
        <v>2010</v>
      </c>
    </row>
    <row r="141" spans="2:8" x14ac:dyDescent="0.2">
      <c r="B141" s="4">
        <v>40878</v>
      </c>
      <c r="H141">
        <f t="shared" si="2"/>
        <v>2011</v>
      </c>
    </row>
    <row r="142" spans="2:8" x14ac:dyDescent="0.2">
      <c r="B142" s="4">
        <v>41244</v>
      </c>
      <c r="H142">
        <f t="shared" si="2"/>
        <v>2012</v>
      </c>
    </row>
    <row r="143" spans="2:8" x14ac:dyDescent="0.2">
      <c r="B143" s="4">
        <v>41609</v>
      </c>
      <c r="H143">
        <f t="shared" si="2"/>
        <v>2013</v>
      </c>
    </row>
    <row r="144" spans="2:8" x14ac:dyDescent="0.2">
      <c r="B144" s="4">
        <v>41974</v>
      </c>
      <c r="H144">
        <f t="shared" si="2"/>
        <v>2014</v>
      </c>
    </row>
    <row r="145" spans="2:8" x14ac:dyDescent="0.2">
      <c r="B145" s="4">
        <v>42339</v>
      </c>
      <c r="H145">
        <f t="shared" si="2"/>
        <v>2015</v>
      </c>
    </row>
    <row r="146" spans="2:8" x14ac:dyDescent="0.2">
      <c r="B146" s="4">
        <v>42705</v>
      </c>
      <c r="H146">
        <f t="shared" si="2"/>
        <v>2016</v>
      </c>
    </row>
    <row r="147" spans="2:8" x14ac:dyDescent="0.2">
      <c r="B147" s="4">
        <v>43070</v>
      </c>
      <c r="H147">
        <f t="shared" si="2"/>
        <v>2017</v>
      </c>
    </row>
    <row r="148" spans="2:8" x14ac:dyDescent="0.2">
      <c r="B148" s="4">
        <v>43435</v>
      </c>
      <c r="H148">
        <f t="shared" si="2"/>
        <v>2018</v>
      </c>
    </row>
    <row r="149" spans="2:8" x14ac:dyDescent="0.2">
      <c r="B149" s="4">
        <v>43800</v>
      </c>
      <c r="H149">
        <f t="shared" si="2"/>
        <v>2019</v>
      </c>
    </row>
    <row r="150" spans="2:8" x14ac:dyDescent="0.2">
      <c r="B150" s="4">
        <v>44166</v>
      </c>
      <c r="H150">
        <f t="shared" si="2"/>
        <v>2020</v>
      </c>
    </row>
    <row r="151" spans="2:8" x14ac:dyDescent="0.2">
      <c r="B151" s="4">
        <v>44531</v>
      </c>
      <c r="H151">
        <f t="shared" si="2"/>
        <v>2021</v>
      </c>
    </row>
    <row r="152" spans="2:8" x14ac:dyDescent="0.2">
      <c r="B152" s="4">
        <v>44896</v>
      </c>
      <c r="H152">
        <f t="shared" si="2"/>
        <v>2022</v>
      </c>
    </row>
    <row r="153" spans="2:8" x14ac:dyDescent="0.2">
      <c r="B153" s="4">
        <v>45261</v>
      </c>
      <c r="H153">
        <f t="shared" si="2"/>
        <v>2023</v>
      </c>
    </row>
    <row r="154" spans="2:8" x14ac:dyDescent="0.2">
      <c r="B154" s="4">
        <v>45627</v>
      </c>
      <c r="H154">
        <f t="shared" si="2"/>
        <v>2024</v>
      </c>
    </row>
    <row r="155" spans="2:8" x14ac:dyDescent="0.2">
      <c r="B155" s="4">
        <v>45992</v>
      </c>
      <c r="H155">
        <f t="shared" si="2"/>
        <v>2025</v>
      </c>
    </row>
    <row r="156" spans="2:8" x14ac:dyDescent="0.2">
      <c r="B156" s="4">
        <v>38322</v>
      </c>
      <c r="H156">
        <f t="shared" si="2"/>
        <v>2004</v>
      </c>
    </row>
    <row r="157" spans="2:8" x14ac:dyDescent="0.2">
      <c r="B157" s="4">
        <v>38687</v>
      </c>
      <c r="H157">
        <f t="shared" si="2"/>
        <v>2005</v>
      </c>
    </row>
    <row r="158" spans="2:8" x14ac:dyDescent="0.2">
      <c r="B158" s="4">
        <v>39052</v>
      </c>
      <c r="H158">
        <f t="shared" si="2"/>
        <v>2006</v>
      </c>
    </row>
    <row r="159" spans="2:8" x14ac:dyDescent="0.2">
      <c r="B159" s="4">
        <v>39417</v>
      </c>
      <c r="H159">
        <f t="shared" si="2"/>
        <v>2007</v>
      </c>
    </row>
    <row r="160" spans="2:8" x14ac:dyDescent="0.2">
      <c r="B160" s="4">
        <v>39783</v>
      </c>
      <c r="H160">
        <f t="shared" si="2"/>
        <v>2008</v>
      </c>
    </row>
    <row r="161" spans="2:8" x14ac:dyDescent="0.2">
      <c r="B161" s="4">
        <v>40148</v>
      </c>
      <c r="H161">
        <f t="shared" si="2"/>
        <v>2009</v>
      </c>
    </row>
    <row r="162" spans="2:8" x14ac:dyDescent="0.2">
      <c r="B162" s="4">
        <v>40513</v>
      </c>
      <c r="H162">
        <f t="shared" si="2"/>
        <v>2010</v>
      </c>
    </row>
    <row r="163" spans="2:8" x14ac:dyDescent="0.2">
      <c r="B163" s="4">
        <v>40878</v>
      </c>
      <c r="H163">
        <f t="shared" si="2"/>
        <v>2011</v>
      </c>
    </row>
    <row r="164" spans="2:8" x14ac:dyDescent="0.2">
      <c r="B164" s="4">
        <v>41244</v>
      </c>
      <c r="H164">
        <f t="shared" si="2"/>
        <v>2012</v>
      </c>
    </row>
    <row r="165" spans="2:8" x14ac:dyDescent="0.2">
      <c r="B165" s="4">
        <v>41609</v>
      </c>
      <c r="H165">
        <f t="shared" si="2"/>
        <v>2013</v>
      </c>
    </row>
    <row r="166" spans="2:8" x14ac:dyDescent="0.2">
      <c r="B166" s="4">
        <v>41974</v>
      </c>
      <c r="H166">
        <f t="shared" si="2"/>
        <v>2014</v>
      </c>
    </row>
    <row r="167" spans="2:8" x14ac:dyDescent="0.2">
      <c r="B167" s="4">
        <v>42339</v>
      </c>
      <c r="H167">
        <f t="shared" si="2"/>
        <v>2015</v>
      </c>
    </row>
    <row r="168" spans="2:8" x14ac:dyDescent="0.2">
      <c r="B168" s="4">
        <v>42705</v>
      </c>
      <c r="H168">
        <f t="shared" si="2"/>
        <v>2016</v>
      </c>
    </row>
    <row r="169" spans="2:8" x14ac:dyDescent="0.2">
      <c r="B169" s="4">
        <v>43070</v>
      </c>
      <c r="H169">
        <f t="shared" si="2"/>
        <v>2017</v>
      </c>
    </row>
    <row r="170" spans="2:8" x14ac:dyDescent="0.2">
      <c r="B170" s="4">
        <v>43435</v>
      </c>
      <c r="H170">
        <f t="shared" si="2"/>
        <v>2018</v>
      </c>
    </row>
    <row r="171" spans="2:8" x14ac:dyDescent="0.2">
      <c r="B171" s="4">
        <v>43800</v>
      </c>
      <c r="H171">
        <f t="shared" si="2"/>
        <v>2019</v>
      </c>
    </row>
    <row r="172" spans="2:8" x14ac:dyDescent="0.2">
      <c r="B172" s="4">
        <v>44166</v>
      </c>
      <c r="H172">
        <f t="shared" si="2"/>
        <v>2020</v>
      </c>
    </row>
    <row r="173" spans="2:8" x14ac:dyDescent="0.2">
      <c r="B173" s="4">
        <v>44531</v>
      </c>
      <c r="H173">
        <f t="shared" si="2"/>
        <v>2021</v>
      </c>
    </row>
    <row r="174" spans="2:8" x14ac:dyDescent="0.2">
      <c r="B174" s="4">
        <v>44896</v>
      </c>
      <c r="H174">
        <f t="shared" si="2"/>
        <v>2022</v>
      </c>
    </row>
    <row r="175" spans="2:8" x14ac:dyDescent="0.2">
      <c r="B175" s="4">
        <v>45261</v>
      </c>
      <c r="H175">
        <f t="shared" si="2"/>
        <v>2023</v>
      </c>
    </row>
    <row r="176" spans="2:8" x14ac:dyDescent="0.2">
      <c r="B176" s="4">
        <v>45627</v>
      </c>
      <c r="H176">
        <f t="shared" si="2"/>
        <v>2024</v>
      </c>
    </row>
    <row r="177" spans="2:8" x14ac:dyDescent="0.2">
      <c r="B177" s="4">
        <v>45992</v>
      </c>
      <c r="H177">
        <f t="shared" si="2"/>
        <v>2025</v>
      </c>
    </row>
    <row r="178" spans="2:8" x14ac:dyDescent="0.2">
      <c r="B178" s="4">
        <v>38322</v>
      </c>
      <c r="H178">
        <f t="shared" si="2"/>
        <v>2004</v>
      </c>
    </row>
    <row r="179" spans="2:8" x14ac:dyDescent="0.2">
      <c r="B179" s="4">
        <v>38687</v>
      </c>
      <c r="H179">
        <f t="shared" si="2"/>
        <v>2005</v>
      </c>
    </row>
    <row r="180" spans="2:8" x14ac:dyDescent="0.2">
      <c r="B180" s="4">
        <v>39052</v>
      </c>
      <c r="H180">
        <f t="shared" si="2"/>
        <v>2006</v>
      </c>
    </row>
    <row r="181" spans="2:8" x14ac:dyDescent="0.2">
      <c r="B181" s="4">
        <v>39417</v>
      </c>
      <c r="H181">
        <f t="shared" si="2"/>
        <v>2007</v>
      </c>
    </row>
    <row r="182" spans="2:8" x14ac:dyDescent="0.2">
      <c r="B182" s="4">
        <v>39783</v>
      </c>
      <c r="H182">
        <f t="shared" si="2"/>
        <v>2008</v>
      </c>
    </row>
    <row r="183" spans="2:8" x14ac:dyDescent="0.2">
      <c r="B183" s="4">
        <v>40148</v>
      </c>
      <c r="H183">
        <f t="shared" si="2"/>
        <v>2009</v>
      </c>
    </row>
    <row r="184" spans="2:8" x14ac:dyDescent="0.2">
      <c r="B184" s="4">
        <v>40513</v>
      </c>
      <c r="H184">
        <f t="shared" si="2"/>
        <v>2010</v>
      </c>
    </row>
    <row r="185" spans="2:8" x14ac:dyDescent="0.2">
      <c r="B185" s="4">
        <v>40878</v>
      </c>
      <c r="H185">
        <f t="shared" si="2"/>
        <v>2011</v>
      </c>
    </row>
    <row r="186" spans="2:8" x14ac:dyDescent="0.2">
      <c r="B186" s="4">
        <v>41244</v>
      </c>
      <c r="H186">
        <f t="shared" si="2"/>
        <v>2012</v>
      </c>
    </row>
    <row r="187" spans="2:8" x14ac:dyDescent="0.2">
      <c r="B187" s="4">
        <v>41609</v>
      </c>
      <c r="H187">
        <f t="shared" si="2"/>
        <v>2013</v>
      </c>
    </row>
    <row r="188" spans="2:8" x14ac:dyDescent="0.2">
      <c r="B188" s="4">
        <v>41974</v>
      </c>
      <c r="H188">
        <f t="shared" si="2"/>
        <v>2014</v>
      </c>
    </row>
    <row r="189" spans="2:8" x14ac:dyDescent="0.2">
      <c r="B189" s="4">
        <v>42339</v>
      </c>
      <c r="H189">
        <f t="shared" si="2"/>
        <v>2015</v>
      </c>
    </row>
    <row r="190" spans="2:8" x14ac:dyDescent="0.2">
      <c r="B190" s="4">
        <v>42705</v>
      </c>
      <c r="H190">
        <f t="shared" si="2"/>
        <v>2016</v>
      </c>
    </row>
    <row r="191" spans="2:8" x14ac:dyDescent="0.2">
      <c r="B191" s="4">
        <v>43070</v>
      </c>
      <c r="H191">
        <f t="shared" si="2"/>
        <v>2017</v>
      </c>
    </row>
    <row r="192" spans="2:8" x14ac:dyDescent="0.2">
      <c r="B192" s="4">
        <v>43435</v>
      </c>
      <c r="H192">
        <f t="shared" si="2"/>
        <v>2018</v>
      </c>
    </row>
    <row r="193" spans="2:8" x14ac:dyDescent="0.2">
      <c r="B193" s="4">
        <v>43800</v>
      </c>
      <c r="H193">
        <f t="shared" si="2"/>
        <v>2019</v>
      </c>
    </row>
    <row r="194" spans="2:8" x14ac:dyDescent="0.2">
      <c r="B194" s="4">
        <v>44166</v>
      </c>
      <c r="H194">
        <f t="shared" si="2"/>
        <v>2020</v>
      </c>
    </row>
    <row r="195" spans="2:8" x14ac:dyDescent="0.2">
      <c r="B195" s="4">
        <v>44531</v>
      </c>
      <c r="H195">
        <f t="shared" ref="H195:H258" si="3">YEAR(B195)</f>
        <v>2021</v>
      </c>
    </row>
    <row r="196" spans="2:8" x14ac:dyDescent="0.2">
      <c r="B196" s="4">
        <v>44896</v>
      </c>
      <c r="H196">
        <f t="shared" si="3"/>
        <v>2022</v>
      </c>
    </row>
    <row r="197" spans="2:8" x14ac:dyDescent="0.2">
      <c r="B197" s="4">
        <v>45261</v>
      </c>
      <c r="H197">
        <f t="shared" si="3"/>
        <v>2023</v>
      </c>
    </row>
    <row r="198" spans="2:8" x14ac:dyDescent="0.2">
      <c r="B198" s="4">
        <v>45627</v>
      </c>
      <c r="H198">
        <f t="shared" si="3"/>
        <v>2024</v>
      </c>
    </row>
    <row r="199" spans="2:8" x14ac:dyDescent="0.2">
      <c r="B199" s="4">
        <v>45992</v>
      </c>
      <c r="H199">
        <f t="shared" si="3"/>
        <v>2025</v>
      </c>
    </row>
    <row r="200" spans="2:8" x14ac:dyDescent="0.2">
      <c r="B200" s="4">
        <v>38322</v>
      </c>
      <c r="H200">
        <f t="shared" si="3"/>
        <v>2004</v>
      </c>
    </row>
    <row r="201" spans="2:8" x14ac:dyDescent="0.2">
      <c r="B201" s="4">
        <v>38687</v>
      </c>
      <c r="H201">
        <f t="shared" si="3"/>
        <v>2005</v>
      </c>
    </row>
    <row r="202" spans="2:8" x14ac:dyDescent="0.2">
      <c r="B202" s="4">
        <v>39052</v>
      </c>
      <c r="H202">
        <f t="shared" si="3"/>
        <v>2006</v>
      </c>
    </row>
    <row r="203" spans="2:8" x14ac:dyDescent="0.2">
      <c r="B203" s="4">
        <v>39417</v>
      </c>
      <c r="H203">
        <f t="shared" si="3"/>
        <v>2007</v>
      </c>
    </row>
    <row r="204" spans="2:8" x14ac:dyDescent="0.2">
      <c r="B204" s="4">
        <v>39783</v>
      </c>
      <c r="H204">
        <f t="shared" si="3"/>
        <v>2008</v>
      </c>
    </row>
    <row r="205" spans="2:8" x14ac:dyDescent="0.2">
      <c r="B205" s="4">
        <v>40148</v>
      </c>
      <c r="H205">
        <f t="shared" si="3"/>
        <v>2009</v>
      </c>
    </row>
    <row r="206" spans="2:8" x14ac:dyDescent="0.2">
      <c r="B206" s="4">
        <v>40513</v>
      </c>
      <c r="H206">
        <f t="shared" si="3"/>
        <v>2010</v>
      </c>
    </row>
    <row r="207" spans="2:8" x14ac:dyDescent="0.2">
      <c r="B207" s="4">
        <v>40878</v>
      </c>
      <c r="H207">
        <f t="shared" si="3"/>
        <v>2011</v>
      </c>
    </row>
    <row r="208" spans="2:8" x14ac:dyDescent="0.2">
      <c r="B208" s="4">
        <v>41244</v>
      </c>
      <c r="H208">
        <f t="shared" si="3"/>
        <v>2012</v>
      </c>
    </row>
    <row r="209" spans="2:8" x14ac:dyDescent="0.2">
      <c r="B209" s="4">
        <v>41609</v>
      </c>
      <c r="H209">
        <f t="shared" si="3"/>
        <v>2013</v>
      </c>
    </row>
    <row r="210" spans="2:8" x14ac:dyDescent="0.2">
      <c r="B210" s="4">
        <v>41974</v>
      </c>
      <c r="H210">
        <f t="shared" si="3"/>
        <v>2014</v>
      </c>
    </row>
    <row r="211" spans="2:8" x14ac:dyDescent="0.2">
      <c r="B211" s="4">
        <v>42339</v>
      </c>
      <c r="H211">
        <f t="shared" si="3"/>
        <v>2015</v>
      </c>
    </row>
    <row r="212" spans="2:8" x14ac:dyDescent="0.2">
      <c r="B212" s="4">
        <v>42705</v>
      </c>
      <c r="H212">
        <f t="shared" si="3"/>
        <v>2016</v>
      </c>
    </row>
    <row r="213" spans="2:8" x14ac:dyDescent="0.2">
      <c r="B213" s="4">
        <v>43070</v>
      </c>
      <c r="H213">
        <f t="shared" si="3"/>
        <v>2017</v>
      </c>
    </row>
    <row r="214" spans="2:8" x14ac:dyDescent="0.2">
      <c r="B214" s="4">
        <v>43435</v>
      </c>
      <c r="H214">
        <f t="shared" si="3"/>
        <v>2018</v>
      </c>
    </row>
    <row r="215" spans="2:8" x14ac:dyDescent="0.2">
      <c r="B215" s="4">
        <v>43800</v>
      </c>
      <c r="H215">
        <f t="shared" si="3"/>
        <v>2019</v>
      </c>
    </row>
    <row r="216" spans="2:8" x14ac:dyDescent="0.2">
      <c r="B216" s="4">
        <v>44166</v>
      </c>
      <c r="H216">
        <f t="shared" si="3"/>
        <v>2020</v>
      </c>
    </row>
    <row r="217" spans="2:8" x14ac:dyDescent="0.2">
      <c r="B217" s="4">
        <v>44531</v>
      </c>
      <c r="H217">
        <f t="shared" si="3"/>
        <v>2021</v>
      </c>
    </row>
    <row r="218" spans="2:8" x14ac:dyDescent="0.2">
      <c r="B218" s="4">
        <v>44896</v>
      </c>
      <c r="H218">
        <f t="shared" si="3"/>
        <v>2022</v>
      </c>
    </row>
    <row r="219" spans="2:8" x14ac:dyDescent="0.2">
      <c r="B219" s="4">
        <v>45261</v>
      </c>
      <c r="H219">
        <f t="shared" si="3"/>
        <v>2023</v>
      </c>
    </row>
    <row r="220" spans="2:8" x14ac:dyDescent="0.2">
      <c r="B220" s="4">
        <v>45627</v>
      </c>
      <c r="H220">
        <f t="shared" si="3"/>
        <v>2024</v>
      </c>
    </row>
    <row r="221" spans="2:8" x14ac:dyDescent="0.2">
      <c r="B221" s="4">
        <v>45992</v>
      </c>
      <c r="H221">
        <f t="shared" si="3"/>
        <v>2025</v>
      </c>
    </row>
    <row r="222" spans="2:8" x14ac:dyDescent="0.2">
      <c r="B222" s="4">
        <v>38322</v>
      </c>
      <c r="H222">
        <f t="shared" si="3"/>
        <v>2004</v>
      </c>
    </row>
    <row r="223" spans="2:8" x14ac:dyDescent="0.2">
      <c r="B223" s="4">
        <v>38687</v>
      </c>
      <c r="H223">
        <f t="shared" si="3"/>
        <v>2005</v>
      </c>
    </row>
    <row r="224" spans="2:8" x14ac:dyDescent="0.2">
      <c r="B224" s="4">
        <v>39052</v>
      </c>
      <c r="H224">
        <f t="shared" si="3"/>
        <v>2006</v>
      </c>
    </row>
    <row r="225" spans="2:8" x14ac:dyDescent="0.2">
      <c r="B225" s="4">
        <v>39417</v>
      </c>
      <c r="H225">
        <f t="shared" si="3"/>
        <v>2007</v>
      </c>
    </row>
    <row r="226" spans="2:8" x14ac:dyDescent="0.2">
      <c r="B226" s="4">
        <v>39783</v>
      </c>
      <c r="H226">
        <f t="shared" si="3"/>
        <v>2008</v>
      </c>
    </row>
    <row r="227" spans="2:8" x14ac:dyDescent="0.2">
      <c r="B227" s="4">
        <v>40148</v>
      </c>
      <c r="H227">
        <f t="shared" si="3"/>
        <v>2009</v>
      </c>
    </row>
    <row r="228" spans="2:8" x14ac:dyDescent="0.2">
      <c r="B228" s="4">
        <v>40513</v>
      </c>
      <c r="H228">
        <f t="shared" si="3"/>
        <v>2010</v>
      </c>
    </row>
    <row r="229" spans="2:8" x14ac:dyDescent="0.2">
      <c r="B229" s="4">
        <v>40878</v>
      </c>
      <c r="H229">
        <f t="shared" si="3"/>
        <v>2011</v>
      </c>
    </row>
    <row r="230" spans="2:8" x14ac:dyDescent="0.2">
      <c r="B230" s="4">
        <v>41244</v>
      </c>
      <c r="H230">
        <f t="shared" si="3"/>
        <v>2012</v>
      </c>
    </row>
    <row r="231" spans="2:8" x14ac:dyDescent="0.2">
      <c r="B231" s="4">
        <v>41609</v>
      </c>
      <c r="H231">
        <f t="shared" si="3"/>
        <v>2013</v>
      </c>
    </row>
    <row r="232" spans="2:8" x14ac:dyDescent="0.2">
      <c r="B232" s="4">
        <v>41974</v>
      </c>
      <c r="H232">
        <f t="shared" si="3"/>
        <v>2014</v>
      </c>
    </row>
    <row r="233" spans="2:8" x14ac:dyDescent="0.2">
      <c r="B233" s="4">
        <v>42339</v>
      </c>
      <c r="H233">
        <f t="shared" si="3"/>
        <v>2015</v>
      </c>
    </row>
    <row r="234" spans="2:8" x14ac:dyDescent="0.2">
      <c r="B234" s="4">
        <v>42705</v>
      </c>
      <c r="H234">
        <f t="shared" si="3"/>
        <v>2016</v>
      </c>
    </row>
    <row r="235" spans="2:8" x14ac:dyDescent="0.2">
      <c r="B235" s="4">
        <v>43070</v>
      </c>
      <c r="H235">
        <f t="shared" si="3"/>
        <v>2017</v>
      </c>
    </row>
    <row r="236" spans="2:8" x14ac:dyDescent="0.2">
      <c r="B236" s="4">
        <v>43435</v>
      </c>
      <c r="H236">
        <f t="shared" si="3"/>
        <v>2018</v>
      </c>
    </row>
    <row r="237" spans="2:8" x14ac:dyDescent="0.2">
      <c r="B237" s="4">
        <v>43800</v>
      </c>
      <c r="H237">
        <f t="shared" si="3"/>
        <v>2019</v>
      </c>
    </row>
    <row r="238" spans="2:8" x14ac:dyDescent="0.2">
      <c r="B238" s="4">
        <v>44166</v>
      </c>
      <c r="H238">
        <f t="shared" si="3"/>
        <v>2020</v>
      </c>
    </row>
    <row r="239" spans="2:8" x14ac:dyDescent="0.2">
      <c r="B239" s="4">
        <v>44531</v>
      </c>
      <c r="H239">
        <f t="shared" si="3"/>
        <v>2021</v>
      </c>
    </row>
    <row r="240" spans="2:8" x14ac:dyDescent="0.2">
      <c r="B240" s="4">
        <v>44896</v>
      </c>
      <c r="H240">
        <f t="shared" si="3"/>
        <v>2022</v>
      </c>
    </row>
    <row r="241" spans="2:8" x14ac:dyDescent="0.2">
      <c r="B241" s="4">
        <v>45261</v>
      </c>
      <c r="H241">
        <f t="shared" si="3"/>
        <v>2023</v>
      </c>
    </row>
    <row r="242" spans="2:8" x14ac:dyDescent="0.2">
      <c r="B242" s="4">
        <v>45627</v>
      </c>
      <c r="H242">
        <f t="shared" si="3"/>
        <v>2024</v>
      </c>
    </row>
    <row r="243" spans="2:8" x14ac:dyDescent="0.2">
      <c r="B243" s="4">
        <v>45992</v>
      </c>
      <c r="H243">
        <f t="shared" si="3"/>
        <v>2025</v>
      </c>
    </row>
    <row r="244" spans="2:8" x14ac:dyDescent="0.2">
      <c r="B244" s="4">
        <v>38322</v>
      </c>
      <c r="H244">
        <f t="shared" si="3"/>
        <v>2004</v>
      </c>
    </row>
    <row r="245" spans="2:8" x14ac:dyDescent="0.2">
      <c r="B245" s="4">
        <v>38687</v>
      </c>
      <c r="H245">
        <f t="shared" si="3"/>
        <v>2005</v>
      </c>
    </row>
    <row r="246" spans="2:8" x14ac:dyDescent="0.2">
      <c r="B246" s="4">
        <v>39052</v>
      </c>
      <c r="H246">
        <f t="shared" si="3"/>
        <v>2006</v>
      </c>
    </row>
    <row r="247" spans="2:8" x14ac:dyDescent="0.2">
      <c r="B247" s="4">
        <v>39417</v>
      </c>
      <c r="H247">
        <f t="shared" si="3"/>
        <v>2007</v>
      </c>
    </row>
    <row r="248" spans="2:8" x14ac:dyDescent="0.2">
      <c r="B248" s="4">
        <v>39783</v>
      </c>
      <c r="H248">
        <f t="shared" si="3"/>
        <v>2008</v>
      </c>
    </row>
    <row r="249" spans="2:8" x14ac:dyDescent="0.2">
      <c r="B249" s="4">
        <v>40148</v>
      </c>
      <c r="H249">
        <f t="shared" si="3"/>
        <v>2009</v>
      </c>
    </row>
    <row r="250" spans="2:8" x14ac:dyDescent="0.2">
      <c r="B250" s="4">
        <v>40513</v>
      </c>
      <c r="H250">
        <f t="shared" si="3"/>
        <v>2010</v>
      </c>
    </row>
    <row r="251" spans="2:8" x14ac:dyDescent="0.2">
      <c r="B251" s="4">
        <v>40878</v>
      </c>
      <c r="H251">
        <f t="shared" si="3"/>
        <v>2011</v>
      </c>
    </row>
    <row r="252" spans="2:8" x14ac:dyDescent="0.2">
      <c r="B252" s="4">
        <v>41244</v>
      </c>
      <c r="H252">
        <f t="shared" si="3"/>
        <v>2012</v>
      </c>
    </row>
    <row r="253" spans="2:8" x14ac:dyDescent="0.2">
      <c r="B253" s="4">
        <v>41609</v>
      </c>
      <c r="H253">
        <f t="shared" si="3"/>
        <v>2013</v>
      </c>
    </row>
    <row r="254" spans="2:8" x14ac:dyDescent="0.2">
      <c r="B254" s="4">
        <v>41974</v>
      </c>
      <c r="H254">
        <f t="shared" si="3"/>
        <v>2014</v>
      </c>
    </row>
    <row r="255" spans="2:8" x14ac:dyDescent="0.2">
      <c r="B255" s="4">
        <v>42339</v>
      </c>
      <c r="H255">
        <f t="shared" si="3"/>
        <v>2015</v>
      </c>
    </row>
    <row r="256" spans="2:8" x14ac:dyDescent="0.2">
      <c r="B256" s="4">
        <v>42705</v>
      </c>
      <c r="H256">
        <f t="shared" si="3"/>
        <v>2016</v>
      </c>
    </row>
    <row r="257" spans="2:8" x14ac:dyDescent="0.2">
      <c r="B257" s="4">
        <v>43070</v>
      </c>
      <c r="H257">
        <f t="shared" si="3"/>
        <v>2017</v>
      </c>
    </row>
    <row r="258" spans="2:8" x14ac:dyDescent="0.2">
      <c r="B258" s="4">
        <v>43435</v>
      </c>
      <c r="H258">
        <f t="shared" si="3"/>
        <v>2018</v>
      </c>
    </row>
    <row r="259" spans="2:8" x14ac:dyDescent="0.2">
      <c r="B259" s="4">
        <v>43800</v>
      </c>
      <c r="H259">
        <f t="shared" ref="H259:H322" si="4">YEAR(B259)</f>
        <v>2019</v>
      </c>
    </row>
    <row r="260" spans="2:8" x14ac:dyDescent="0.2">
      <c r="B260" s="4">
        <v>44166</v>
      </c>
      <c r="H260">
        <f t="shared" si="4"/>
        <v>2020</v>
      </c>
    </row>
    <row r="261" spans="2:8" x14ac:dyDescent="0.2">
      <c r="B261" s="4">
        <v>44531</v>
      </c>
      <c r="H261">
        <f t="shared" si="4"/>
        <v>2021</v>
      </c>
    </row>
    <row r="262" spans="2:8" x14ac:dyDescent="0.2">
      <c r="B262" s="4">
        <v>44896</v>
      </c>
      <c r="H262">
        <f t="shared" si="4"/>
        <v>2022</v>
      </c>
    </row>
    <row r="263" spans="2:8" x14ac:dyDescent="0.2">
      <c r="B263" s="4">
        <v>45261</v>
      </c>
      <c r="H263">
        <f t="shared" si="4"/>
        <v>2023</v>
      </c>
    </row>
    <row r="264" spans="2:8" x14ac:dyDescent="0.2">
      <c r="B264" s="4">
        <v>45627</v>
      </c>
      <c r="H264">
        <f t="shared" si="4"/>
        <v>2024</v>
      </c>
    </row>
    <row r="265" spans="2:8" x14ac:dyDescent="0.2">
      <c r="B265" s="4">
        <v>45992</v>
      </c>
      <c r="H265">
        <f t="shared" si="4"/>
        <v>2025</v>
      </c>
    </row>
    <row r="266" spans="2:8" x14ac:dyDescent="0.2">
      <c r="B266" s="4">
        <v>38322</v>
      </c>
      <c r="H266">
        <f t="shared" si="4"/>
        <v>2004</v>
      </c>
    </row>
    <row r="267" spans="2:8" x14ac:dyDescent="0.2">
      <c r="B267" s="4">
        <v>38687</v>
      </c>
      <c r="H267">
        <f t="shared" si="4"/>
        <v>2005</v>
      </c>
    </row>
    <row r="268" spans="2:8" x14ac:dyDescent="0.2">
      <c r="B268" s="4">
        <v>39052</v>
      </c>
      <c r="H268">
        <f t="shared" si="4"/>
        <v>2006</v>
      </c>
    </row>
    <row r="269" spans="2:8" x14ac:dyDescent="0.2">
      <c r="B269" s="4">
        <v>39417</v>
      </c>
      <c r="H269">
        <f t="shared" si="4"/>
        <v>2007</v>
      </c>
    </row>
    <row r="270" spans="2:8" x14ac:dyDescent="0.2">
      <c r="B270" s="4">
        <v>39783</v>
      </c>
      <c r="H270">
        <f t="shared" si="4"/>
        <v>2008</v>
      </c>
    </row>
    <row r="271" spans="2:8" x14ac:dyDescent="0.2">
      <c r="B271" s="4">
        <v>40148</v>
      </c>
      <c r="H271">
        <f t="shared" si="4"/>
        <v>2009</v>
      </c>
    </row>
    <row r="272" spans="2:8" x14ac:dyDescent="0.2">
      <c r="B272" s="4">
        <v>40513</v>
      </c>
      <c r="H272">
        <f t="shared" si="4"/>
        <v>2010</v>
      </c>
    </row>
    <row r="273" spans="2:8" x14ac:dyDescent="0.2">
      <c r="B273" s="4">
        <v>40878</v>
      </c>
      <c r="H273">
        <f t="shared" si="4"/>
        <v>2011</v>
      </c>
    </row>
    <row r="274" spans="2:8" x14ac:dyDescent="0.2">
      <c r="B274" s="4">
        <v>41244</v>
      </c>
      <c r="H274">
        <f t="shared" si="4"/>
        <v>2012</v>
      </c>
    </row>
    <row r="275" spans="2:8" x14ac:dyDescent="0.2">
      <c r="B275" s="4">
        <v>41609</v>
      </c>
      <c r="H275">
        <f t="shared" si="4"/>
        <v>2013</v>
      </c>
    </row>
    <row r="276" spans="2:8" x14ac:dyDescent="0.2">
      <c r="B276" s="4">
        <v>41974</v>
      </c>
      <c r="H276">
        <f t="shared" si="4"/>
        <v>2014</v>
      </c>
    </row>
    <row r="277" spans="2:8" x14ac:dyDescent="0.2">
      <c r="B277" s="4">
        <v>42339</v>
      </c>
      <c r="H277">
        <f t="shared" si="4"/>
        <v>2015</v>
      </c>
    </row>
    <row r="278" spans="2:8" x14ac:dyDescent="0.2">
      <c r="B278" s="4">
        <v>42705</v>
      </c>
      <c r="H278">
        <f t="shared" si="4"/>
        <v>2016</v>
      </c>
    </row>
    <row r="279" spans="2:8" x14ac:dyDescent="0.2">
      <c r="B279" s="4">
        <v>43070</v>
      </c>
      <c r="H279">
        <f t="shared" si="4"/>
        <v>2017</v>
      </c>
    </row>
    <row r="280" spans="2:8" x14ac:dyDescent="0.2">
      <c r="B280" s="4">
        <v>43435</v>
      </c>
      <c r="H280">
        <f t="shared" si="4"/>
        <v>2018</v>
      </c>
    </row>
    <row r="281" spans="2:8" x14ac:dyDescent="0.2">
      <c r="B281" s="4">
        <v>43800</v>
      </c>
      <c r="H281">
        <f t="shared" si="4"/>
        <v>2019</v>
      </c>
    </row>
    <row r="282" spans="2:8" x14ac:dyDescent="0.2">
      <c r="B282" s="4">
        <v>44166</v>
      </c>
      <c r="H282">
        <f t="shared" si="4"/>
        <v>2020</v>
      </c>
    </row>
    <row r="283" spans="2:8" x14ac:dyDescent="0.2">
      <c r="B283" s="4">
        <v>44531</v>
      </c>
      <c r="H283">
        <f t="shared" si="4"/>
        <v>2021</v>
      </c>
    </row>
    <row r="284" spans="2:8" x14ac:dyDescent="0.2">
      <c r="B284" s="4">
        <v>44896</v>
      </c>
      <c r="H284">
        <f t="shared" si="4"/>
        <v>2022</v>
      </c>
    </row>
    <row r="285" spans="2:8" x14ac:dyDescent="0.2">
      <c r="B285" s="4">
        <v>45261</v>
      </c>
      <c r="H285">
        <f t="shared" si="4"/>
        <v>2023</v>
      </c>
    </row>
    <row r="286" spans="2:8" x14ac:dyDescent="0.2">
      <c r="B286" s="4">
        <v>45627</v>
      </c>
      <c r="H286">
        <f t="shared" si="4"/>
        <v>2024</v>
      </c>
    </row>
    <row r="287" spans="2:8" x14ac:dyDescent="0.2">
      <c r="B287" s="4">
        <v>45992</v>
      </c>
      <c r="H287">
        <f t="shared" si="4"/>
        <v>2025</v>
      </c>
    </row>
    <row r="288" spans="2:8" x14ac:dyDescent="0.2">
      <c r="B288" s="4">
        <v>38322</v>
      </c>
      <c r="H288">
        <f t="shared" si="4"/>
        <v>2004</v>
      </c>
    </row>
    <row r="289" spans="2:8" x14ac:dyDescent="0.2">
      <c r="B289" s="4">
        <v>38687</v>
      </c>
      <c r="H289">
        <f t="shared" si="4"/>
        <v>2005</v>
      </c>
    </row>
    <row r="290" spans="2:8" x14ac:dyDescent="0.2">
      <c r="B290" s="4">
        <v>39052</v>
      </c>
      <c r="H290">
        <f t="shared" si="4"/>
        <v>2006</v>
      </c>
    </row>
    <row r="291" spans="2:8" x14ac:dyDescent="0.2">
      <c r="B291" s="4">
        <v>39417</v>
      </c>
      <c r="H291">
        <f t="shared" si="4"/>
        <v>2007</v>
      </c>
    </row>
    <row r="292" spans="2:8" x14ac:dyDescent="0.2">
      <c r="B292" s="4">
        <v>39783</v>
      </c>
      <c r="H292">
        <f t="shared" si="4"/>
        <v>2008</v>
      </c>
    </row>
    <row r="293" spans="2:8" x14ac:dyDescent="0.2">
      <c r="B293" s="4">
        <v>40148</v>
      </c>
      <c r="H293">
        <f t="shared" si="4"/>
        <v>2009</v>
      </c>
    </row>
    <row r="294" spans="2:8" x14ac:dyDescent="0.2">
      <c r="B294" s="4">
        <v>40513</v>
      </c>
      <c r="H294">
        <f t="shared" si="4"/>
        <v>2010</v>
      </c>
    </row>
    <row r="295" spans="2:8" x14ac:dyDescent="0.2">
      <c r="B295" s="4">
        <v>40878</v>
      </c>
      <c r="H295">
        <f t="shared" si="4"/>
        <v>2011</v>
      </c>
    </row>
    <row r="296" spans="2:8" x14ac:dyDescent="0.2">
      <c r="B296" s="4">
        <v>41244</v>
      </c>
      <c r="H296">
        <f t="shared" si="4"/>
        <v>2012</v>
      </c>
    </row>
    <row r="297" spans="2:8" x14ac:dyDescent="0.2">
      <c r="B297" s="4">
        <v>41609</v>
      </c>
      <c r="H297">
        <f t="shared" si="4"/>
        <v>2013</v>
      </c>
    </row>
    <row r="298" spans="2:8" x14ac:dyDescent="0.2">
      <c r="B298" s="4">
        <v>41974</v>
      </c>
      <c r="H298">
        <f t="shared" si="4"/>
        <v>2014</v>
      </c>
    </row>
    <row r="299" spans="2:8" x14ac:dyDescent="0.2">
      <c r="B299" s="4">
        <v>42339</v>
      </c>
      <c r="H299">
        <f t="shared" si="4"/>
        <v>2015</v>
      </c>
    </row>
    <row r="300" spans="2:8" x14ac:dyDescent="0.2">
      <c r="B300" s="4">
        <v>42705</v>
      </c>
      <c r="H300">
        <f t="shared" si="4"/>
        <v>2016</v>
      </c>
    </row>
    <row r="301" spans="2:8" x14ac:dyDescent="0.2">
      <c r="B301" s="4">
        <v>43070</v>
      </c>
      <c r="H301">
        <f t="shared" si="4"/>
        <v>2017</v>
      </c>
    </row>
    <row r="302" spans="2:8" x14ac:dyDescent="0.2">
      <c r="B302" s="4">
        <v>43435</v>
      </c>
      <c r="H302">
        <f t="shared" si="4"/>
        <v>2018</v>
      </c>
    </row>
    <row r="303" spans="2:8" x14ac:dyDescent="0.2">
      <c r="B303" s="4">
        <v>43800</v>
      </c>
      <c r="H303">
        <f t="shared" si="4"/>
        <v>2019</v>
      </c>
    </row>
    <row r="304" spans="2:8" x14ac:dyDescent="0.2">
      <c r="B304" s="4">
        <v>44166</v>
      </c>
      <c r="H304">
        <f t="shared" si="4"/>
        <v>2020</v>
      </c>
    </row>
    <row r="305" spans="2:8" x14ac:dyDescent="0.2">
      <c r="B305" s="4">
        <v>44531</v>
      </c>
      <c r="H305">
        <f t="shared" si="4"/>
        <v>2021</v>
      </c>
    </row>
    <row r="306" spans="2:8" x14ac:dyDescent="0.2">
      <c r="B306" s="4">
        <v>44896</v>
      </c>
      <c r="H306">
        <f t="shared" si="4"/>
        <v>2022</v>
      </c>
    </row>
    <row r="307" spans="2:8" x14ac:dyDescent="0.2">
      <c r="B307" s="4">
        <v>45261</v>
      </c>
      <c r="H307">
        <f t="shared" si="4"/>
        <v>2023</v>
      </c>
    </row>
    <row r="308" spans="2:8" x14ac:dyDescent="0.2">
      <c r="B308" s="4">
        <v>45627</v>
      </c>
      <c r="H308">
        <f t="shared" si="4"/>
        <v>2024</v>
      </c>
    </row>
    <row r="309" spans="2:8" x14ac:dyDescent="0.2">
      <c r="B309" s="4">
        <v>45992</v>
      </c>
      <c r="H309">
        <f t="shared" si="4"/>
        <v>2025</v>
      </c>
    </row>
    <row r="310" spans="2:8" x14ac:dyDescent="0.2">
      <c r="B310" s="4">
        <v>38322</v>
      </c>
      <c r="H310">
        <f t="shared" si="4"/>
        <v>2004</v>
      </c>
    </row>
    <row r="311" spans="2:8" x14ac:dyDescent="0.2">
      <c r="B311" s="4">
        <v>38687</v>
      </c>
      <c r="H311">
        <f t="shared" si="4"/>
        <v>2005</v>
      </c>
    </row>
    <row r="312" spans="2:8" x14ac:dyDescent="0.2">
      <c r="B312" s="4">
        <v>39052</v>
      </c>
      <c r="H312">
        <f t="shared" si="4"/>
        <v>2006</v>
      </c>
    </row>
    <row r="313" spans="2:8" x14ac:dyDescent="0.2">
      <c r="B313" s="4">
        <v>39417</v>
      </c>
      <c r="H313">
        <f t="shared" si="4"/>
        <v>2007</v>
      </c>
    </row>
    <row r="314" spans="2:8" x14ac:dyDescent="0.2">
      <c r="B314" s="4">
        <v>39783</v>
      </c>
      <c r="H314">
        <f t="shared" si="4"/>
        <v>2008</v>
      </c>
    </row>
    <row r="315" spans="2:8" x14ac:dyDescent="0.2">
      <c r="B315" s="4">
        <v>40148</v>
      </c>
      <c r="H315">
        <f t="shared" si="4"/>
        <v>2009</v>
      </c>
    </row>
    <row r="316" spans="2:8" x14ac:dyDescent="0.2">
      <c r="B316" s="4">
        <v>40513</v>
      </c>
      <c r="H316">
        <f t="shared" si="4"/>
        <v>2010</v>
      </c>
    </row>
    <row r="317" spans="2:8" x14ac:dyDescent="0.2">
      <c r="B317" s="4">
        <v>40878</v>
      </c>
      <c r="H317">
        <f t="shared" si="4"/>
        <v>2011</v>
      </c>
    </row>
    <row r="318" spans="2:8" x14ac:dyDescent="0.2">
      <c r="B318" s="4">
        <v>41244</v>
      </c>
      <c r="H318">
        <f t="shared" si="4"/>
        <v>2012</v>
      </c>
    </row>
    <row r="319" spans="2:8" x14ac:dyDescent="0.2">
      <c r="B319" s="4">
        <v>41609</v>
      </c>
      <c r="H319">
        <f t="shared" si="4"/>
        <v>2013</v>
      </c>
    </row>
    <row r="320" spans="2:8" x14ac:dyDescent="0.2">
      <c r="B320" s="4">
        <v>41974</v>
      </c>
      <c r="H320">
        <f t="shared" si="4"/>
        <v>2014</v>
      </c>
    </row>
    <row r="321" spans="2:8" x14ac:dyDescent="0.2">
      <c r="B321" s="4">
        <v>42339</v>
      </c>
      <c r="H321">
        <f t="shared" si="4"/>
        <v>2015</v>
      </c>
    </row>
    <row r="322" spans="2:8" x14ac:dyDescent="0.2">
      <c r="B322" s="4">
        <v>42705</v>
      </c>
      <c r="H322">
        <f t="shared" si="4"/>
        <v>2016</v>
      </c>
    </row>
    <row r="323" spans="2:8" x14ac:dyDescent="0.2">
      <c r="B323" s="4">
        <v>43070</v>
      </c>
      <c r="H323">
        <f t="shared" ref="H323:H386" si="5">YEAR(B323)</f>
        <v>2017</v>
      </c>
    </row>
    <row r="324" spans="2:8" x14ac:dyDescent="0.2">
      <c r="B324" s="4">
        <v>43435</v>
      </c>
      <c r="H324">
        <f t="shared" si="5"/>
        <v>2018</v>
      </c>
    </row>
    <row r="325" spans="2:8" x14ac:dyDescent="0.2">
      <c r="B325" s="4">
        <v>43800</v>
      </c>
      <c r="H325">
        <f t="shared" si="5"/>
        <v>2019</v>
      </c>
    </row>
    <row r="326" spans="2:8" x14ac:dyDescent="0.2">
      <c r="B326" s="4">
        <v>44166</v>
      </c>
      <c r="H326">
        <f t="shared" si="5"/>
        <v>2020</v>
      </c>
    </row>
    <row r="327" spans="2:8" x14ac:dyDescent="0.2">
      <c r="B327" s="4">
        <v>44531</v>
      </c>
      <c r="H327">
        <f t="shared" si="5"/>
        <v>2021</v>
      </c>
    </row>
    <row r="328" spans="2:8" x14ac:dyDescent="0.2">
      <c r="B328" s="4">
        <v>44896</v>
      </c>
      <c r="H328">
        <f t="shared" si="5"/>
        <v>2022</v>
      </c>
    </row>
    <row r="329" spans="2:8" x14ac:dyDescent="0.2">
      <c r="B329" s="4">
        <v>45261</v>
      </c>
      <c r="H329">
        <f t="shared" si="5"/>
        <v>2023</v>
      </c>
    </row>
    <row r="330" spans="2:8" x14ac:dyDescent="0.2">
      <c r="B330" s="4">
        <v>45627</v>
      </c>
      <c r="H330">
        <f t="shared" si="5"/>
        <v>2024</v>
      </c>
    </row>
    <row r="331" spans="2:8" x14ac:dyDescent="0.2">
      <c r="B331" s="4">
        <v>45992</v>
      </c>
      <c r="H331">
        <f t="shared" si="5"/>
        <v>2025</v>
      </c>
    </row>
    <row r="332" spans="2:8" x14ac:dyDescent="0.2">
      <c r="B332" s="4">
        <v>38322</v>
      </c>
      <c r="H332">
        <f t="shared" si="5"/>
        <v>2004</v>
      </c>
    </row>
    <row r="333" spans="2:8" x14ac:dyDescent="0.2">
      <c r="B333" s="4">
        <v>38687</v>
      </c>
      <c r="H333">
        <f t="shared" si="5"/>
        <v>2005</v>
      </c>
    </row>
    <row r="334" spans="2:8" x14ac:dyDescent="0.2">
      <c r="B334" s="4">
        <v>39052</v>
      </c>
      <c r="H334">
        <f t="shared" si="5"/>
        <v>2006</v>
      </c>
    </row>
    <row r="335" spans="2:8" x14ac:dyDescent="0.2">
      <c r="B335" s="4">
        <v>39417</v>
      </c>
      <c r="H335">
        <f t="shared" si="5"/>
        <v>2007</v>
      </c>
    </row>
    <row r="336" spans="2:8" x14ac:dyDescent="0.2">
      <c r="B336" s="4">
        <v>39783</v>
      </c>
      <c r="H336">
        <f t="shared" si="5"/>
        <v>2008</v>
      </c>
    </row>
    <row r="337" spans="2:8" x14ac:dyDescent="0.2">
      <c r="B337" s="4">
        <v>40148</v>
      </c>
      <c r="H337">
        <f t="shared" si="5"/>
        <v>2009</v>
      </c>
    </row>
    <row r="338" spans="2:8" x14ac:dyDescent="0.2">
      <c r="B338" s="4">
        <v>40513</v>
      </c>
      <c r="H338">
        <f t="shared" si="5"/>
        <v>2010</v>
      </c>
    </row>
    <row r="339" spans="2:8" x14ac:dyDescent="0.2">
      <c r="B339" s="4">
        <v>40878</v>
      </c>
      <c r="H339">
        <f t="shared" si="5"/>
        <v>2011</v>
      </c>
    </row>
    <row r="340" spans="2:8" x14ac:dyDescent="0.2">
      <c r="B340" s="4">
        <v>41244</v>
      </c>
      <c r="H340">
        <f t="shared" si="5"/>
        <v>2012</v>
      </c>
    </row>
    <row r="341" spans="2:8" x14ac:dyDescent="0.2">
      <c r="B341" s="4">
        <v>41609</v>
      </c>
      <c r="H341">
        <f t="shared" si="5"/>
        <v>2013</v>
      </c>
    </row>
    <row r="342" spans="2:8" x14ac:dyDescent="0.2">
      <c r="B342" s="4">
        <v>41974</v>
      </c>
      <c r="H342">
        <f t="shared" si="5"/>
        <v>2014</v>
      </c>
    </row>
    <row r="343" spans="2:8" x14ac:dyDescent="0.2">
      <c r="B343" s="4">
        <v>42339</v>
      </c>
      <c r="H343">
        <f t="shared" si="5"/>
        <v>2015</v>
      </c>
    </row>
    <row r="344" spans="2:8" x14ac:dyDescent="0.2">
      <c r="B344" s="4">
        <v>42705</v>
      </c>
      <c r="H344">
        <f t="shared" si="5"/>
        <v>2016</v>
      </c>
    </row>
    <row r="345" spans="2:8" x14ac:dyDescent="0.2">
      <c r="B345" s="4">
        <v>43070</v>
      </c>
      <c r="H345">
        <f t="shared" si="5"/>
        <v>2017</v>
      </c>
    </row>
    <row r="346" spans="2:8" x14ac:dyDescent="0.2">
      <c r="B346" s="4">
        <v>43435</v>
      </c>
      <c r="H346">
        <f t="shared" si="5"/>
        <v>2018</v>
      </c>
    </row>
    <row r="347" spans="2:8" x14ac:dyDescent="0.2">
      <c r="B347" s="4">
        <v>43800</v>
      </c>
      <c r="H347">
        <f t="shared" si="5"/>
        <v>2019</v>
      </c>
    </row>
    <row r="348" spans="2:8" x14ac:dyDescent="0.2">
      <c r="B348" s="4">
        <v>44166</v>
      </c>
      <c r="H348">
        <f t="shared" si="5"/>
        <v>2020</v>
      </c>
    </row>
    <row r="349" spans="2:8" x14ac:dyDescent="0.2">
      <c r="B349" s="4">
        <v>44531</v>
      </c>
      <c r="H349">
        <f t="shared" si="5"/>
        <v>2021</v>
      </c>
    </row>
    <row r="350" spans="2:8" x14ac:dyDescent="0.2">
      <c r="B350" s="4">
        <v>44896</v>
      </c>
      <c r="H350">
        <f t="shared" si="5"/>
        <v>2022</v>
      </c>
    </row>
    <row r="351" spans="2:8" x14ac:dyDescent="0.2">
      <c r="B351" s="4">
        <v>45261</v>
      </c>
      <c r="H351">
        <f t="shared" si="5"/>
        <v>2023</v>
      </c>
    </row>
    <row r="352" spans="2:8" x14ac:dyDescent="0.2">
      <c r="B352" s="4">
        <v>45627</v>
      </c>
      <c r="H352">
        <f t="shared" si="5"/>
        <v>2024</v>
      </c>
    </row>
    <row r="353" spans="2:8" x14ac:dyDescent="0.2">
      <c r="B353" s="4">
        <v>45992</v>
      </c>
      <c r="H353">
        <f t="shared" si="5"/>
        <v>2025</v>
      </c>
    </row>
    <row r="354" spans="2:8" x14ac:dyDescent="0.2">
      <c r="B354" s="4">
        <v>38322</v>
      </c>
      <c r="H354">
        <f t="shared" si="5"/>
        <v>2004</v>
      </c>
    </row>
    <row r="355" spans="2:8" x14ac:dyDescent="0.2">
      <c r="B355" s="4">
        <v>38687</v>
      </c>
      <c r="H355">
        <f t="shared" si="5"/>
        <v>2005</v>
      </c>
    </row>
    <row r="356" spans="2:8" x14ac:dyDescent="0.2">
      <c r="B356" s="4">
        <v>39052</v>
      </c>
      <c r="H356">
        <f t="shared" si="5"/>
        <v>2006</v>
      </c>
    </row>
    <row r="357" spans="2:8" x14ac:dyDescent="0.2">
      <c r="B357" s="4">
        <v>39417</v>
      </c>
      <c r="H357">
        <f t="shared" si="5"/>
        <v>2007</v>
      </c>
    </row>
    <row r="358" spans="2:8" x14ac:dyDescent="0.2">
      <c r="B358" s="4">
        <v>39783</v>
      </c>
      <c r="H358">
        <f t="shared" si="5"/>
        <v>2008</v>
      </c>
    </row>
    <row r="359" spans="2:8" x14ac:dyDescent="0.2">
      <c r="B359" s="4">
        <v>40148</v>
      </c>
      <c r="H359">
        <f t="shared" si="5"/>
        <v>2009</v>
      </c>
    </row>
    <row r="360" spans="2:8" x14ac:dyDescent="0.2">
      <c r="B360" s="4">
        <v>40513</v>
      </c>
      <c r="H360">
        <f t="shared" si="5"/>
        <v>2010</v>
      </c>
    </row>
    <row r="361" spans="2:8" x14ac:dyDescent="0.2">
      <c r="B361" s="4">
        <v>40878</v>
      </c>
      <c r="H361">
        <f t="shared" si="5"/>
        <v>2011</v>
      </c>
    </row>
    <row r="362" spans="2:8" x14ac:dyDescent="0.2">
      <c r="B362" s="4">
        <v>41244</v>
      </c>
      <c r="H362">
        <f t="shared" si="5"/>
        <v>2012</v>
      </c>
    </row>
    <row r="363" spans="2:8" x14ac:dyDescent="0.2">
      <c r="B363" s="4">
        <v>41609</v>
      </c>
      <c r="H363">
        <f t="shared" si="5"/>
        <v>2013</v>
      </c>
    </row>
    <row r="364" spans="2:8" x14ac:dyDescent="0.2">
      <c r="B364" s="4">
        <v>41974</v>
      </c>
      <c r="H364">
        <f t="shared" si="5"/>
        <v>2014</v>
      </c>
    </row>
    <row r="365" spans="2:8" x14ac:dyDescent="0.2">
      <c r="B365" s="4">
        <v>42339</v>
      </c>
      <c r="H365">
        <f t="shared" si="5"/>
        <v>2015</v>
      </c>
    </row>
    <row r="366" spans="2:8" x14ac:dyDescent="0.2">
      <c r="B366" s="4">
        <v>42705</v>
      </c>
      <c r="H366">
        <f t="shared" si="5"/>
        <v>2016</v>
      </c>
    </row>
    <row r="367" spans="2:8" x14ac:dyDescent="0.2">
      <c r="B367" s="4">
        <v>43070</v>
      </c>
      <c r="H367">
        <f t="shared" si="5"/>
        <v>2017</v>
      </c>
    </row>
    <row r="368" spans="2:8" x14ac:dyDescent="0.2">
      <c r="B368" s="4">
        <v>43435</v>
      </c>
      <c r="H368">
        <f t="shared" si="5"/>
        <v>2018</v>
      </c>
    </row>
    <row r="369" spans="2:8" x14ac:dyDescent="0.2">
      <c r="B369" s="4">
        <v>43800</v>
      </c>
      <c r="H369">
        <f t="shared" si="5"/>
        <v>2019</v>
      </c>
    </row>
    <row r="370" spans="2:8" x14ac:dyDescent="0.2">
      <c r="B370" s="4">
        <v>44166</v>
      </c>
      <c r="H370">
        <f t="shared" si="5"/>
        <v>2020</v>
      </c>
    </row>
    <row r="371" spans="2:8" x14ac:dyDescent="0.2">
      <c r="B371" s="4">
        <v>44531</v>
      </c>
      <c r="H371">
        <f t="shared" si="5"/>
        <v>2021</v>
      </c>
    </row>
    <row r="372" spans="2:8" x14ac:dyDescent="0.2">
      <c r="B372" s="4">
        <v>44896</v>
      </c>
      <c r="H372">
        <f t="shared" si="5"/>
        <v>2022</v>
      </c>
    </row>
    <row r="373" spans="2:8" x14ac:dyDescent="0.2">
      <c r="B373" s="4">
        <v>45261</v>
      </c>
      <c r="H373">
        <f t="shared" si="5"/>
        <v>2023</v>
      </c>
    </row>
    <row r="374" spans="2:8" x14ac:dyDescent="0.2">
      <c r="B374" s="4">
        <v>45627</v>
      </c>
      <c r="H374">
        <f t="shared" si="5"/>
        <v>2024</v>
      </c>
    </row>
    <row r="375" spans="2:8" x14ac:dyDescent="0.2">
      <c r="B375" s="4">
        <v>45992</v>
      </c>
      <c r="H375">
        <f t="shared" si="5"/>
        <v>2025</v>
      </c>
    </row>
    <row r="376" spans="2:8" x14ac:dyDescent="0.2">
      <c r="B376" s="4">
        <v>38322</v>
      </c>
      <c r="H376">
        <f t="shared" si="5"/>
        <v>2004</v>
      </c>
    </row>
    <row r="377" spans="2:8" x14ac:dyDescent="0.2">
      <c r="B377" s="4">
        <v>38687</v>
      </c>
      <c r="H377">
        <f t="shared" si="5"/>
        <v>2005</v>
      </c>
    </row>
    <row r="378" spans="2:8" x14ac:dyDescent="0.2">
      <c r="B378" s="4">
        <v>39052</v>
      </c>
      <c r="H378">
        <f t="shared" si="5"/>
        <v>2006</v>
      </c>
    </row>
    <row r="379" spans="2:8" x14ac:dyDescent="0.2">
      <c r="B379" s="4">
        <v>39417</v>
      </c>
      <c r="H379">
        <f t="shared" si="5"/>
        <v>2007</v>
      </c>
    </row>
    <row r="380" spans="2:8" x14ac:dyDescent="0.2">
      <c r="B380" s="4">
        <v>39783</v>
      </c>
      <c r="H380">
        <f t="shared" si="5"/>
        <v>2008</v>
      </c>
    </row>
    <row r="381" spans="2:8" x14ac:dyDescent="0.2">
      <c r="B381" s="4">
        <v>40148</v>
      </c>
      <c r="H381">
        <f t="shared" si="5"/>
        <v>2009</v>
      </c>
    </row>
    <row r="382" spans="2:8" x14ac:dyDescent="0.2">
      <c r="B382" s="4">
        <v>40513</v>
      </c>
      <c r="H382">
        <f t="shared" si="5"/>
        <v>2010</v>
      </c>
    </row>
    <row r="383" spans="2:8" x14ac:dyDescent="0.2">
      <c r="B383" s="4">
        <v>40878</v>
      </c>
      <c r="H383">
        <f t="shared" si="5"/>
        <v>2011</v>
      </c>
    </row>
    <row r="384" spans="2:8" x14ac:dyDescent="0.2">
      <c r="B384" s="4">
        <v>41244</v>
      </c>
      <c r="H384">
        <f t="shared" si="5"/>
        <v>2012</v>
      </c>
    </row>
    <row r="385" spans="2:8" x14ac:dyDescent="0.2">
      <c r="B385" s="4">
        <v>41609</v>
      </c>
      <c r="H385">
        <f t="shared" si="5"/>
        <v>2013</v>
      </c>
    </row>
    <row r="386" spans="2:8" x14ac:dyDescent="0.2">
      <c r="B386" s="4">
        <v>41974</v>
      </c>
      <c r="H386">
        <f t="shared" si="5"/>
        <v>2014</v>
      </c>
    </row>
    <row r="387" spans="2:8" x14ac:dyDescent="0.2">
      <c r="B387" s="4">
        <v>42339</v>
      </c>
      <c r="H387">
        <f t="shared" ref="H387:H450" si="6">YEAR(B387)</f>
        <v>2015</v>
      </c>
    </row>
    <row r="388" spans="2:8" x14ac:dyDescent="0.2">
      <c r="B388" s="4">
        <v>42705</v>
      </c>
      <c r="H388">
        <f t="shared" si="6"/>
        <v>2016</v>
      </c>
    </row>
    <row r="389" spans="2:8" x14ac:dyDescent="0.2">
      <c r="B389" s="4">
        <v>43070</v>
      </c>
      <c r="H389">
        <f t="shared" si="6"/>
        <v>2017</v>
      </c>
    </row>
    <row r="390" spans="2:8" x14ac:dyDescent="0.2">
      <c r="B390" s="4">
        <v>43435</v>
      </c>
      <c r="H390">
        <f t="shared" si="6"/>
        <v>2018</v>
      </c>
    </row>
    <row r="391" spans="2:8" x14ac:dyDescent="0.2">
      <c r="B391" s="4">
        <v>43800</v>
      </c>
      <c r="H391">
        <f t="shared" si="6"/>
        <v>2019</v>
      </c>
    </row>
    <row r="392" spans="2:8" x14ac:dyDescent="0.2">
      <c r="B392" s="4">
        <v>44166</v>
      </c>
      <c r="H392">
        <f t="shared" si="6"/>
        <v>2020</v>
      </c>
    </row>
    <row r="393" spans="2:8" x14ac:dyDescent="0.2">
      <c r="B393" s="4">
        <v>44531</v>
      </c>
      <c r="H393">
        <f t="shared" si="6"/>
        <v>2021</v>
      </c>
    </row>
    <row r="394" spans="2:8" x14ac:dyDescent="0.2">
      <c r="B394" s="4">
        <v>44896</v>
      </c>
      <c r="H394">
        <f t="shared" si="6"/>
        <v>2022</v>
      </c>
    </row>
    <row r="395" spans="2:8" x14ac:dyDescent="0.2">
      <c r="B395" s="4">
        <v>45261</v>
      </c>
      <c r="H395">
        <f t="shared" si="6"/>
        <v>2023</v>
      </c>
    </row>
    <row r="396" spans="2:8" x14ac:dyDescent="0.2">
      <c r="B396" s="4">
        <v>45627</v>
      </c>
      <c r="H396">
        <f t="shared" si="6"/>
        <v>2024</v>
      </c>
    </row>
    <row r="397" spans="2:8" x14ac:dyDescent="0.2">
      <c r="B397" s="4">
        <v>45992</v>
      </c>
      <c r="H397">
        <f t="shared" si="6"/>
        <v>2025</v>
      </c>
    </row>
    <row r="398" spans="2:8" x14ac:dyDescent="0.2">
      <c r="B398" s="4">
        <v>38322</v>
      </c>
      <c r="H398">
        <f t="shared" si="6"/>
        <v>2004</v>
      </c>
    </row>
    <row r="399" spans="2:8" x14ac:dyDescent="0.2">
      <c r="B399" s="4">
        <v>38687</v>
      </c>
      <c r="H399">
        <f t="shared" si="6"/>
        <v>2005</v>
      </c>
    </row>
    <row r="400" spans="2:8" x14ac:dyDescent="0.2">
      <c r="B400" s="4">
        <v>39052</v>
      </c>
      <c r="H400">
        <f t="shared" si="6"/>
        <v>2006</v>
      </c>
    </row>
    <row r="401" spans="2:8" x14ac:dyDescent="0.2">
      <c r="B401" s="4">
        <v>39417</v>
      </c>
      <c r="H401">
        <f t="shared" si="6"/>
        <v>2007</v>
      </c>
    </row>
    <row r="402" spans="2:8" x14ac:dyDescent="0.2">
      <c r="B402" s="4">
        <v>39783</v>
      </c>
      <c r="H402">
        <f t="shared" si="6"/>
        <v>2008</v>
      </c>
    </row>
    <row r="403" spans="2:8" x14ac:dyDescent="0.2">
      <c r="B403" s="4">
        <v>40148</v>
      </c>
      <c r="H403">
        <f t="shared" si="6"/>
        <v>2009</v>
      </c>
    </row>
    <row r="404" spans="2:8" x14ac:dyDescent="0.2">
      <c r="B404" s="4">
        <v>40513</v>
      </c>
      <c r="H404">
        <f t="shared" si="6"/>
        <v>2010</v>
      </c>
    </row>
    <row r="405" spans="2:8" x14ac:dyDescent="0.2">
      <c r="B405" s="4">
        <v>40878</v>
      </c>
      <c r="H405">
        <f t="shared" si="6"/>
        <v>2011</v>
      </c>
    </row>
    <row r="406" spans="2:8" x14ac:dyDescent="0.2">
      <c r="B406" s="4">
        <v>41244</v>
      </c>
      <c r="H406">
        <f t="shared" si="6"/>
        <v>2012</v>
      </c>
    </row>
    <row r="407" spans="2:8" x14ac:dyDescent="0.2">
      <c r="B407" s="4">
        <v>41609</v>
      </c>
      <c r="H407">
        <f t="shared" si="6"/>
        <v>2013</v>
      </c>
    </row>
    <row r="408" spans="2:8" x14ac:dyDescent="0.2">
      <c r="B408" s="4">
        <v>41974</v>
      </c>
      <c r="H408">
        <f t="shared" si="6"/>
        <v>2014</v>
      </c>
    </row>
    <row r="409" spans="2:8" x14ac:dyDescent="0.2">
      <c r="B409" s="4">
        <v>42339</v>
      </c>
      <c r="H409">
        <f t="shared" si="6"/>
        <v>2015</v>
      </c>
    </row>
    <row r="410" spans="2:8" x14ac:dyDescent="0.2">
      <c r="B410" s="4">
        <v>42705</v>
      </c>
      <c r="H410">
        <f t="shared" si="6"/>
        <v>2016</v>
      </c>
    </row>
    <row r="411" spans="2:8" x14ac:dyDescent="0.2">
      <c r="B411" s="4">
        <v>43070</v>
      </c>
      <c r="H411">
        <f t="shared" si="6"/>
        <v>2017</v>
      </c>
    </row>
    <row r="412" spans="2:8" x14ac:dyDescent="0.2">
      <c r="B412" s="4">
        <v>43435</v>
      </c>
      <c r="H412">
        <f t="shared" si="6"/>
        <v>2018</v>
      </c>
    </row>
    <row r="413" spans="2:8" x14ac:dyDescent="0.2">
      <c r="B413" s="4">
        <v>43800</v>
      </c>
      <c r="H413">
        <f t="shared" si="6"/>
        <v>2019</v>
      </c>
    </row>
    <row r="414" spans="2:8" x14ac:dyDescent="0.2">
      <c r="B414" s="4">
        <v>44166</v>
      </c>
      <c r="H414">
        <f t="shared" si="6"/>
        <v>2020</v>
      </c>
    </row>
    <row r="415" spans="2:8" x14ac:dyDescent="0.2">
      <c r="B415" s="4">
        <v>44531</v>
      </c>
      <c r="H415">
        <f t="shared" si="6"/>
        <v>2021</v>
      </c>
    </row>
    <row r="416" spans="2:8" x14ac:dyDescent="0.2">
      <c r="B416" s="4">
        <v>44896</v>
      </c>
      <c r="H416">
        <f t="shared" si="6"/>
        <v>2022</v>
      </c>
    </row>
    <row r="417" spans="2:8" x14ac:dyDescent="0.2">
      <c r="B417" s="4">
        <v>45261</v>
      </c>
      <c r="H417">
        <f t="shared" si="6"/>
        <v>2023</v>
      </c>
    </row>
    <row r="418" spans="2:8" x14ac:dyDescent="0.2">
      <c r="B418" s="4">
        <v>45627</v>
      </c>
      <c r="H418">
        <f t="shared" si="6"/>
        <v>2024</v>
      </c>
    </row>
    <row r="419" spans="2:8" x14ac:dyDescent="0.2">
      <c r="B419" s="4">
        <v>45992</v>
      </c>
      <c r="H419">
        <f t="shared" si="6"/>
        <v>2025</v>
      </c>
    </row>
    <row r="420" spans="2:8" x14ac:dyDescent="0.2">
      <c r="B420" s="4">
        <v>38322</v>
      </c>
      <c r="H420">
        <f t="shared" si="6"/>
        <v>2004</v>
      </c>
    </row>
    <row r="421" spans="2:8" x14ac:dyDescent="0.2">
      <c r="B421" s="4">
        <v>38687</v>
      </c>
      <c r="H421">
        <f t="shared" si="6"/>
        <v>2005</v>
      </c>
    </row>
    <row r="422" spans="2:8" x14ac:dyDescent="0.2">
      <c r="B422" s="4">
        <v>39052</v>
      </c>
      <c r="H422">
        <f t="shared" si="6"/>
        <v>2006</v>
      </c>
    </row>
    <row r="423" spans="2:8" x14ac:dyDescent="0.2">
      <c r="B423" s="4">
        <v>39417</v>
      </c>
      <c r="H423">
        <f t="shared" si="6"/>
        <v>2007</v>
      </c>
    </row>
    <row r="424" spans="2:8" x14ac:dyDescent="0.2">
      <c r="B424" s="4">
        <v>39783</v>
      </c>
      <c r="H424">
        <f t="shared" si="6"/>
        <v>2008</v>
      </c>
    </row>
    <row r="425" spans="2:8" x14ac:dyDescent="0.2">
      <c r="B425" s="4">
        <v>40148</v>
      </c>
      <c r="H425">
        <f t="shared" si="6"/>
        <v>2009</v>
      </c>
    </row>
    <row r="426" spans="2:8" x14ac:dyDescent="0.2">
      <c r="B426" s="4">
        <v>40513</v>
      </c>
      <c r="H426">
        <f t="shared" si="6"/>
        <v>2010</v>
      </c>
    </row>
    <row r="427" spans="2:8" x14ac:dyDescent="0.2">
      <c r="B427" s="4">
        <v>40878</v>
      </c>
      <c r="H427">
        <f t="shared" si="6"/>
        <v>2011</v>
      </c>
    </row>
    <row r="428" spans="2:8" x14ac:dyDescent="0.2">
      <c r="B428" s="4">
        <v>41244</v>
      </c>
      <c r="H428">
        <f t="shared" si="6"/>
        <v>2012</v>
      </c>
    </row>
    <row r="429" spans="2:8" x14ac:dyDescent="0.2">
      <c r="B429" s="4">
        <v>41609</v>
      </c>
      <c r="H429">
        <f t="shared" si="6"/>
        <v>2013</v>
      </c>
    </row>
    <row r="430" spans="2:8" x14ac:dyDescent="0.2">
      <c r="B430" s="4">
        <v>41974</v>
      </c>
      <c r="H430">
        <f t="shared" si="6"/>
        <v>2014</v>
      </c>
    </row>
    <row r="431" spans="2:8" x14ac:dyDescent="0.2">
      <c r="B431" s="4">
        <v>42339</v>
      </c>
      <c r="H431">
        <f t="shared" si="6"/>
        <v>2015</v>
      </c>
    </row>
    <row r="432" spans="2:8" x14ac:dyDescent="0.2">
      <c r="B432" s="4">
        <v>42705</v>
      </c>
      <c r="H432">
        <f t="shared" si="6"/>
        <v>2016</v>
      </c>
    </row>
    <row r="433" spans="2:8" x14ac:dyDescent="0.2">
      <c r="B433" s="4">
        <v>43070</v>
      </c>
      <c r="H433">
        <f t="shared" si="6"/>
        <v>2017</v>
      </c>
    </row>
    <row r="434" spans="2:8" x14ac:dyDescent="0.2">
      <c r="B434" s="4">
        <v>43435</v>
      </c>
      <c r="H434">
        <f t="shared" si="6"/>
        <v>2018</v>
      </c>
    </row>
    <row r="435" spans="2:8" x14ac:dyDescent="0.2">
      <c r="B435" s="4">
        <v>43800</v>
      </c>
      <c r="H435">
        <f t="shared" si="6"/>
        <v>2019</v>
      </c>
    </row>
    <row r="436" spans="2:8" x14ac:dyDescent="0.2">
      <c r="B436" s="4">
        <v>44166</v>
      </c>
      <c r="H436">
        <f t="shared" si="6"/>
        <v>2020</v>
      </c>
    </row>
    <row r="437" spans="2:8" x14ac:dyDescent="0.2">
      <c r="B437" s="4">
        <v>44531</v>
      </c>
      <c r="H437">
        <f t="shared" si="6"/>
        <v>2021</v>
      </c>
    </row>
    <row r="438" spans="2:8" x14ac:dyDescent="0.2">
      <c r="B438" s="4">
        <v>44896</v>
      </c>
      <c r="H438">
        <f t="shared" si="6"/>
        <v>2022</v>
      </c>
    </row>
    <row r="439" spans="2:8" x14ac:dyDescent="0.2">
      <c r="B439" s="4">
        <v>45261</v>
      </c>
      <c r="H439">
        <f t="shared" si="6"/>
        <v>2023</v>
      </c>
    </row>
    <row r="440" spans="2:8" x14ac:dyDescent="0.2">
      <c r="B440" s="4">
        <v>45627</v>
      </c>
      <c r="H440">
        <f t="shared" si="6"/>
        <v>2024</v>
      </c>
    </row>
    <row r="441" spans="2:8" x14ac:dyDescent="0.2">
      <c r="B441" s="4">
        <v>45992</v>
      </c>
      <c r="H441">
        <f t="shared" si="6"/>
        <v>2025</v>
      </c>
    </row>
    <row r="442" spans="2:8" x14ac:dyDescent="0.2">
      <c r="B442" s="4">
        <v>38322</v>
      </c>
      <c r="H442">
        <f t="shared" si="6"/>
        <v>2004</v>
      </c>
    </row>
    <row r="443" spans="2:8" x14ac:dyDescent="0.2">
      <c r="B443" s="4">
        <v>38687</v>
      </c>
      <c r="H443">
        <f t="shared" si="6"/>
        <v>2005</v>
      </c>
    </row>
    <row r="444" spans="2:8" x14ac:dyDescent="0.2">
      <c r="B444" s="4">
        <v>39052</v>
      </c>
      <c r="H444">
        <f t="shared" si="6"/>
        <v>2006</v>
      </c>
    </row>
    <row r="445" spans="2:8" x14ac:dyDescent="0.2">
      <c r="B445" s="4">
        <v>39417</v>
      </c>
      <c r="H445">
        <f t="shared" si="6"/>
        <v>2007</v>
      </c>
    </row>
    <row r="446" spans="2:8" x14ac:dyDescent="0.2">
      <c r="B446" s="4">
        <v>39783</v>
      </c>
      <c r="H446">
        <f t="shared" si="6"/>
        <v>2008</v>
      </c>
    </row>
    <row r="447" spans="2:8" x14ac:dyDescent="0.2">
      <c r="B447" s="4">
        <v>40148</v>
      </c>
      <c r="H447">
        <f t="shared" si="6"/>
        <v>2009</v>
      </c>
    </row>
    <row r="448" spans="2:8" x14ac:dyDescent="0.2">
      <c r="B448" s="4">
        <v>40513</v>
      </c>
      <c r="H448">
        <f t="shared" si="6"/>
        <v>2010</v>
      </c>
    </row>
    <row r="449" spans="2:8" x14ac:dyDescent="0.2">
      <c r="B449" s="4">
        <v>40878</v>
      </c>
      <c r="H449">
        <f t="shared" si="6"/>
        <v>2011</v>
      </c>
    </row>
    <row r="450" spans="2:8" x14ac:dyDescent="0.2">
      <c r="B450" s="4">
        <v>41244</v>
      </c>
      <c r="H450">
        <f t="shared" si="6"/>
        <v>2012</v>
      </c>
    </row>
    <row r="451" spans="2:8" x14ac:dyDescent="0.2">
      <c r="B451" s="4">
        <v>41609</v>
      </c>
      <c r="H451">
        <f t="shared" ref="H451:H514" si="7">YEAR(B451)</f>
        <v>2013</v>
      </c>
    </row>
    <row r="452" spans="2:8" x14ac:dyDescent="0.2">
      <c r="B452" s="4">
        <v>41974</v>
      </c>
      <c r="H452">
        <f t="shared" si="7"/>
        <v>2014</v>
      </c>
    </row>
    <row r="453" spans="2:8" x14ac:dyDescent="0.2">
      <c r="B453" s="4">
        <v>42339</v>
      </c>
      <c r="H453">
        <f t="shared" si="7"/>
        <v>2015</v>
      </c>
    </row>
    <row r="454" spans="2:8" x14ac:dyDescent="0.2">
      <c r="B454" s="4">
        <v>42705</v>
      </c>
      <c r="H454">
        <f t="shared" si="7"/>
        <v>2016</v>
      </c>
    </row>
    <row r="455" spans="2:8" x14ac:dyDescent="0.2">
      <c r="B455" s="4">
        <v>43070</v>
      </c>
      <c r="H455">
        <f t="shared" si="7"/>
        <v>2017</v>
      </c>
    </row>
    <row r="456" spans="2:8" x14ac:dyDescent="0.2">
      <c r="B456" s="4">
        <v>43435</v>
      </c>
      <c r="H456">
        <f t="shared" si="7"/>
        <v>2018</v>
      </c>
    </row>
    <row r="457" spans="2:8" x14ac:dyDescent="0.2">
      <c r="B457" s="4">
        <v>43800</v>
      </c>
      <c r="H457">
        <f t="shared" si="7"/>
        <v>2019</v>
      </c>
    </row>
    <row r="458" spans="2:8" x14ac:dyDescent="0.2">
      <c r="B458" s="4">
        <v>44166</v>
      </c>
      <c r="H458">
        <f t="shared" si="7"/>
        <v>2020</v>
      </c>
    </row>
    <row r="459" spans="2:8" x14ac:dyDescent="0.2">
      <c r="B459" s="4">
        <v>44531</v>
      </c>
      <c r="H459">
        <f t="shared" si="7"/>
        <v>2021</v>
      </c>
    </row>
    <row r="460" spans="2:8" x14ac:dyDescent="0.2">
      <c r="B460" s="4">
        <v>44896</v>
      </c>
      <c r="H460">
        <f t="shared" si="7"/>
        <v>2022</v>
      </c>
    </row>
    <row r="461" spans="2:8" x14ac:dyDescent="0.2">
      <c r="B461" s="4">
        <v>45261</v>
      </c>
      <c r="H461">
        <f t="shared" si="7"/>
        <v>2023</v>
      </c>
    </row>
    <row r="462" spans="2:8" x14ac:dyDescent="0.2">
      <c r="B462" s="4">
        <v>45627</v>
      </c>
      <c r="H462">
        <f t="shared" si="7"/>
        <v>2024</v>
      </c>
    </row>
    <row r="463" spans="2:8" x14ac:dyDescent="0.2">
      <c r="B463" s="4">
        <v>45992</v>
      </c>
      <c r="H463">
        <f t="shared" si="7"/>
        <v>2025</v>
      </c>
    </row>
    <row r="464" spans="2:8" x14ac:dyDescent="0.2">
      <c r="B464" s="4">
        <v>38322</v>
      </c>
      <c r="H464">
        <f t="shared" si="7"/>
        <v>2004</v>
      </c>
    </row>
    <row r="465" spans="2:8" x14ac:dyDescent="0.2">
      <c r="B465" s="4">
        <v>38687</v>
      </c>
      <c r="H465">
        <f t="shared" si="7"/>
        <v>2005</v>
      </c>
    </row>
    <row r="466" spans="2:8" x14ac:dyDescent="0.2">
      <c r="B466" s="4">
        <v>39052</v>
      </c>
      <c r="H466">
        <f t="shared" si="7"/>
        <v>2006</v>
      </c>
    </row>
    <row r="467" spans="2:8" x14ac:dyDescent="0.2">
      <c r="B467" s="4">
        <v>39417</v>
      </c>
      <c r="H467">
        <f t="shared" si="7"/>
        <v>2007</v>
      </c>
    </row>
    <row r="468" spans="2:8" x14ac:dyDescent="0.2">
      <c r="B468" s="4">
        <v>39783</v>
      </c>
      <c r="H468">
        <f t="shared" si="7"/>
        <v>2008</v>
      </c>
    </row>
    <row r="469" spans="2:8" x14ac:dyDescent="0.2">
      <c r="B469" s="4">
        <v>40148</v>
      </c>
      <c r="H469">
        <f t="shared" si="7"/>
        <v>2009</v>
      </c>
    </row>
    <row r="470" spans="2:8" x14ac:dyDescent="0.2">
      <c r="B470" s="4">
        <v>40513</v>
      </c>
      <c r="H470">
        <f t="shared" si="7"/>
        <v>2010</v>
      </c>
    </row>
    <row r="471" spans="2:8" x14ac:dyDescent="0.2">
      <c r="B471" s="4">
        <v>40878</v>
      </c>
      <c r="H471">
        <f t="shared" si="7"/>
        <v>2011</v>
      </c>
    </row>
    <row r="472" spans="2:8" x14ac:dyDescent="0.2">
      <c r="B472" s="4">
        <v>41244</v>
      </c>
      <c r="H472">
        <f t="shared" si="7"/>
        <v>2012</v>
      </c>
    </row>
    <row r="473" spans="2:8" x14ac:dyDescent="0.2">
      <c r="B473" s="4">
        <v>41609</v>
      </c>
      <c r="H473">
        <f t="shared" si="7"/>
        <v>2013</v>
      </c>
    </row>
    <row r="474" spans="2:8" x14ac:dyDescent="0.2">
      <c r="B474" s="4">
        <v>41974</v>
      </c>
      <c r="H474">
        <f t="shared" si="7"/>
        <v>2014</v>
      </c>
    </row>
    <row r="475" spans="2:8" x14ac:dyDescent="0.2">
      <c r="B475" s="4">
        <v>42339</v>
      </c>
      <c r="H475">
        <f t="shared" si="7"/>
        <v>2015</v>
      </c>
    </row>
    <row r="476" spans="2:8" x14ac:dyDescent="0.2">
      <c r="B476" s="4">
        <v>42705</v>
      </c>
      <c r="H476">
        <f t="shared" si="7"/>
        <v>2016</v>
      </c>
    </row>
    <row r="477" spans="2:8" x14ac:dyDescent="0.2">
      <c r="B477" s="4">
        <v>43070</v>
      </c>
      <c r="H477">
        <f t="shared" si="7"/>
        <v>2017</v>
      </c>
    </row>
    <row r="478" spans="2:8" x14ac:dyDescent="0.2">
      <c r="B478" s="4">
        <v>43435</v>
      </c>
      <c r="H478">
        <f t="shared" si="7"/>
        <v>2018</v>
      </c>
    </row>
    <row r="479" spans="2:8" x14ac:dyDescent="0.2">
      <c r="B479" s="4">
        <v>43800</v>
      </c>
      <c r="H479">
        <f t="shared" si="7"/>
        <v>2019</v>
      </c>
    </row>
    <row r="480" spans="2:8" x14ac:dyDescent="0.2">
      <c r="B480" s="4">
        <v>44166</v>
      </c>
      <c r="H480">
        <f t="shared" si="7"/>
        <v>2020</v>
      </c>
    </row>
    <row r="481" spans="2:8" x14ac:dyDescent="0.2">
      <c r="B481" s="4">
        <v>44531</v>
      </c>
      <c r="H481">
        <f t="shared" si="7"/>
        <v>2021</v>
      </c>
    </row>
    <row r="482" spans="2:8" x14ac:dyDescent="0.2">
      <c r="B482" s="4">
        <v>44896</v>
      </c>
      <c r="H482">
        <f t="shared" si="7"/>
        <v>2022</v>
      </c>
    </row>
    <row r="483" spans="2:8" x14ac:dyDescent="0.2">
      <c r="B483" s="4">
        <v>45261</v>
      </c>
      <c r="H483">
        <f t="shared" si="7"/>
        <v>2023</v>
      </c>
    </row>
    <row r="484" spans="2:8" x14ac:dyDescent="0.2">
      <c r="B484" s="4">
        <v>45627</v>
      </c>
      <c r="H484">
        <f t="shared" si="7"/>
        <v>2024</v>
      </c>
    </row>
    <row r="485" spans="2:8" x14ac:dyDescent="0.2">
      <c r="B485" s="4">
        <v>45992</v>
      </c>
      <c r="H485">
        <f t="shared" si="7"/>
        <v>2025</v>
      </c>
    </row>
    <row r="486" spans="2:8" x14ac:dyDescent="0.2">
      <c r="B486" s="4">
        <v>38322</v>
      </c>
      <c r="H486">
        <f t="shared" si="7"/>
        <v>2004</v>
      </c>
    </row>
    <row r="487" spans="2:8" x14ac:dyDescent="0.2">
      <c r="B487" s="4">
        <v>38687</v>
      </c>
      <c r="H487">
        <f t="shared" si="7"/>
        <v>2005</v>
      </c>
    </row>
    <row r="488" spans="2:8" x14ac:dyDescent="0.2">
      <c r="B488" s="4">
        <v>39052</v>
      </c>
      <c r="H488">
        <f t="shared" si="7"/>
        <v>2006</v>
      </c>
    </row>
    <row r="489" spans="2:8" x14ac:dyDescent="0.2">
      <c r="B489" s="4">
        <v>39417</v>
      </c>
      <c r="H489">
        <f t="shared" si="7"/>
        <v>2007</v>
      </c>
    </row>
    <row r="490" spans="2:8" x14ac:dyDescent="0.2">
      <c r="B490" s="4">
        <v>39783</v>
      </c>
      <c r="H490">
        <f t="shared" si="7"/>
        <v>2008</v>
      </c>
    </row>
    <row r="491" spans="2:8" x14ac:dyDescent="0.2">
      <c r="B491" s="4">
        <v>40148</v>
      </c>
      <c r="H491">
        <f t="shared" si="7"/>
        <v>2009</v>
      </c>
    </row>
    <row r="492" spans="2:8" x14ac:dyDescent="0.2">
      <c r="B492" s="4">
        <v>40513</v>
      </c>
      <c r="H492">
        <f t="shared" si="7"/>
        <v>2010</v>
      </c>
    </row>
    <row r="493" spans="2:8" x14ac:dyDescent="0.2">
      <c r="B493" s="4">
        <v>40878</v>
      </c>
      <c r="H493">
        <f t="shared" si="7"/>
        <v>2011</v>
      </c>
    </row>
    <row r="494" spans="2:8" x14ac:dyDescent="0.2">
      <c r="B494" s="4">
        <v>41244</v>
      </c>
      <c r="H494">
        <f t="shared" si="7"/>
        <v>2012</v>
      </c>
    </row>
    <row r="495" spans="2:8" x14ac:dyDescent="0.2">
      <c r="B495" s="4">
        <v>41609</v>
      </c>
      <c r="H495">
        <f t="shared" si="7"/>
        <v>2013</v>
      </c>
    </row>
    <row r="496" spans="2:8" x14ac:dyDescent="0.2">
      <c r="B496" s="4">
        <v>41974</v>
      </c>
      <c r="H496">
        <f t="shared" si="7"/>
        <v>2014</v>
      </c>
    </row>
    <row r="497" spans="2:8" x14ac:dyDescent="0.2">
      <c r="B497" s="4">
        <v>42339</v>
      </c>
      <c r="H497">
        <f t="shared" si="7"/>
        <v>2015</v>
      </c>
    </row>
    <row r="498" spans="2:8" x14ac:dyDescent="0.2">
      <c r="B498" s="4">
        <v>42705</v>
      </c>
      <c r="H498">
        <f t="shared" si="7"/>
        <v>2016</v>
      </c>
    </row>
    <row r="499" spans="2:8" x14ac:dyDescent="0.2">
      <c r="B499" s="4">
        <v>43070</v>
      </c>
      <c r="H499">
        <f t="shared" si="7"/>
        <v>2017</v>
      </c>
    </row>
    <row r="500" spans="2:8" x14ac:dyDescent="0.2">
      <c r="B500" s="4">
        <v>43435</v>
      </c>
      <c r="H500">
        <f t="shared" si="7"/>
        <v>2018</v>
      </c>
    </row>
    <row r="501" spans="2:8" x14ac:dyDescent="0.2">
      <c r="B501" s="4">
        <v>43800</v>
      </c>
      <c r="H501">
        <f t="shared" si="7"/>
        <v>2019</v>
      </c>
    </row>
    <row r="502" spans="2:8" x14ac:dyDescent="0.2">
      <c r="B502" s="4">
        <v>44166</v>
      </c>
      <c r="H502">
        <f t="shared" si="7"/>
        <v>2020</v>
      </c>
    </row>
    <row r="503" spans="2:8" x14ac:dyDescent="0.2">
      <c r="B503" s="4">
        <v>44531</v>
      </c>
      <c r="H503">
        <f t="shared" si="7"/>
        <v>2021</v>
      </c>
    </row>
    <row r="504" spans="2:8" x14ac:dyDescent="0.2">
      <c r="B504" s="4">
        <v>44896</v>
      </c>
      <c r="H504">
        <f t="shared" si="7"/>
        <v>2022</v>
      </c>
    </row>
    <row r="505" spans="2:8" x14ac:dyDescent="0.2">
      <c r="B505" s="4">
        <v>45261</v>
      </c>
      <c r="H505">
        <f t="shared" si="7"/>
        <v>2023</v>
      </c>
    </row>
    <row r="506" spans="2:8" x14ac:dyDescent="0.2">
      <c r="B506" s="4">
        <v>45627</v>
      </c>
      <c r="H506">
        <f t="shared" si="7"/>
        <v>2024</v>
      </c>
    </row>
    <row r="507" spans="2:8" x14ac:dyDescent="0.2">
      <c r="B507" s="4">
        <v>45992</v>
      </c>
      <c r="H507">
        <f t="shared" si="7"/>
        <v>2025</v>
      </c>
    </row>
    <row r="508" spans="2:8" x14ac:dyDescent="0.2">
      <c r="B508" s="4">
        <v>38322</v>
      </c>
      <c r="H508">
        <f t="shared" si="7"/>
        <v>2004</v>
      </c>
    </row>
    <row r="509" spans="2:8" x14ac:dyDescent="0.2">
      <c r="B509" s="4">
        <v>38687</v>
      </c>
      <c r="H509">
        <f t="shared" si="7"/>
        <v>2005</v>
      </c>
    </row>
    <row r="510" spans="2:8" x14ac:dyDescent="0.2">
      <c r="B510" s="4">
        <v>39052</v>
      </c>
      <c r="H510">
        <f t="shared" si="7"/>
        <v>2006</v>
      </c>
    </row>
    <row r="511" spans="2:8" x14ac:dyDescent="0.2">
      <c r="B511" s="4">
        <v>39417</v>
      </c>
      <c r="H511">
        <f t="shared" si="7"/>
        <v>2007</v>
      </c>
    </row>
    <row r="512" spans="2:8" x14ac:dyDescent="0.2">
      <c r="B512" s="4">
        <v>39783</v>
      </c>
      <c r="H512">
        <f t="shared" si="7"/>
        <v>2008</v>
      </c>
    </row>
    <row r="513" spans="2:8" x14ac:dyDescent="0.2">
      <c r="B513" s="4">
        <v>40148</v>
      </c>
      <c r="H513">
        <f t="shared" si="7"/>
        <v>2009</v>
      </c>
    </row>
    <row r="514" spans="2:8" x14ac:dyDescent="0.2">
      <c r="B514" s="4">
        <v>40513</v>
      </c>
      <c r="H514">
        <f t="shared" si="7"/>
        <v>2010</v>
      </c>
    </row>
    <row r="515" spans="2:8" x14ac:dyDescent="0.2">
      <c r="B515" s="4">
        <v>40878</v>
      </c>
      <c r="H515">
        <f t="shared" ref="H515:H578" si="8">YEAR(B515)</f>
        <v>2011</v>
      </c>
    </row>
    <row r="516" spans="2:8" x14ac:dyDescent="0.2">
      <c r="B516" s="4">
        <v>41244</v>
      </c>
      <c r="H516">
        <f t="shared" si="8"/>
        <v>2012</v>
      </c>
    </row>
    <row r="517" spans="2:8" x14ac:dyDescent="0.2">
      <c r="B517" s="4">
        <v>41609</v>
      </c>
      <c r="H517">
        <f t="shared" si="8"/>
        <v>2013</v>
      </c>
    </row>
    <row r="518" spans="2:8" x14ac:dyDescent="0.2">
      <c r="B518" s="4">
        <v>41974</v>
      </c>
      <c r="H518">
        <f t="shared" si="8"/>
        <v>2014</v>
      </c>
    </row>
    <row r="519" spans="2:8" x14ac:dyDescent="0.2">
      <c r="B519" s="4">
        <v>42339</v>
      </c>
      <c r="H519">
        <f t="shared" si="8"/>
        <v>2015</v>
      </c>
    </row>
    <row r="520" spans="2:8" x14ac:dyDescent="0.2">
      <c r="B520" s="4">
        <v>42705</v>
      </c>
      <c r="H520">
        <f t="shared" si="8"/>
        <v>2016</v>
      </c>
    </row>
    <row r="521" spans="2:8" x14ac:dyDescent="0.2">
      <c r="B521" s="4">
        <v>43070</v>
      </c>
      <c r="H521">
        <f t="shared" si="8"/>
        <v>2017</v>
      </c>
    </row>
    <row r="522" spans="2:8" x14ac:dyDescent="0.2">
      <c r="B522" s="4">
        <v>43435</v>
      </c>
      <c r="H522">
        <f t="shared" si="8"/>
        <v>2018</v>
      </c>
    </row>
    <row r="523" spans="2:8" x14ac:dyDescent="0.2">
      <c r="B523" s="4">
        <v>43800</v>
      </c>
      <c r="H523">
        <f t="shared" si="8"/>
        <v>2019</v>
      </c>
    </row>
    <row r="524" spans="2:8" x14ac:dyDescent="0.2">
      <c r="B524" s="4">
        <v>44166</v>
      </c>
      <c r="H524">
        <f t="shared" si="8"/>
        <v>2020</v>
      </c>
    </row>
    <row r="525" spans="2:8" x14ac:dyDescent="0.2">
      <c r="B525" s="4">
        <v>44531</v>
      </c>
      <c r="H525">
        <f t="shared" si="8"/>
        <v>2021</v>
      </c>
    </row>
    <row r="526" spans="2:8" x14ac:dyDescent="0.2">
      <c r="B526" s="4">
        <v>44896</v>
      </c>
      <c r="H526">
        <f t="shared" si="8"/>
        <v>2022</v>
      </c>
    </row>
    <row r="527" spans="2:8" x14ac:dyDescent="0.2">
      <c r="B527" s="4">
        <v>45261</v>
      </c>
      <c r="H527">
        <f t="shared" si="8"/>
        <v>2023</v>
      </c>
    </row>
    <row r="528" spans="2:8" x14ac:dyDescent="0.2">
      <c r="B528" s="4">
        <v>45627</v>
      </c>
      <c r="H528">
        <f t="shared" si="8"/>
        <v>2024</v>
      </c>
    </row>
    <row r="529" spans="2:8" x14ac:dyDescent="0.2">
      <c r="B529" s="4">
        <v>45992</v>
      </c>
      <c r="H529">
        <f t="shared" si="8"/>
        <v>2025</v>
      </c>
    </row>
    <row r="530" spans="2:8" x14ac:dyDescent="0.2">
      <c r="B530" s="4">
        <v>38322</v>
      </c>
      <c r="H530">
        <f t="shared" si="8"/>
        <v>2004</v>
      </c>
    </row>
    <row r="531" spans="2:8" x14ac:dyDescent="0.2">
      <c r="B531" s="4">
        <v>38687</v>
      </c>
      <c r="H531">
        <f t="shared" si="8"/>
        <v>2005</v>
      </c>
    </row>
    <row r="532" spans="2:8" x14ac:dyDescent="0.2">
      <c r="B532" s="4">
        <v>39052</v>
      </c>
      <c r="H532">
        <f t="shared" si="8"/>
        <v>2006</v>
      </c>
    </row>
    <row r="533" spans="2:8" x14ac:dyDescent="0.2">
      <c r="B533" s="4">
        <v>39417</v>
      </c>
      <c r="H533">
        <f t="shared" si="8"/>
        <v>2007</v>
      </c>
    </row>
    <row r="534" spans="2:8" x14ac:dyDescent="0.2">
      <c r="B534" s="4">
        <v>39783</v>
      </c>
      <c r="H534">
        <f t="shared" si="8"/>
        <v>2008</v>
      </c>
    </row>
    <row r="535" spans="2:8" x14ac:dyDescent="0.2">
      <c r="B535" s="4">
        <v>40148</v>
      </c>
      <c r="H535">
        <f t="shared" si="8"/>
        <v>2009</v>
      </c>
    </row>
    <row r="536" spans="2:8" x14ac:dyDescent="0.2">
      <c r="B536" s="4">
        <v>40513</v>
      </c>
      <c r="H536">
        <f t="shared" si="8"/>
        <v>2010</v>
      </c>
    </row>
    <row r="537" spans="2:8" x14ac:dyDescent="0.2">
      <c r="B537" s="4">
        <v>40878</v>
      </c>
      <c r="H537">
        <f t="shared" si="8"/>
        <v>2011</v>
      </c>
    </row>
    <row r="538" spans="2:8" x14ac:dyDescent="0.2">
      <c r="B538" s="4">
        <v>41244</v>
      </c>
      <c r="H538">
        <f t="shared" si="8"/>
        <v>2012</v>
      </c>
    </row>
    <row r="539" spans="2:8" x14ac:dyDescent="0.2">
      <c r="B539" s="4">
        <v>41609</v>
      </c>
      <c r="H539">
        <f t="shared" si="8"/>
        <v>2013</v>
      </c>
    </row>
    <row r="540" spans="2:8" x14ac:dyDescent="0.2">
      <c r="B540" s="4">
        <v>41974</v>
      </c>
      <c r="H540">
        <f t="shared" si="8"/>
        <v>2014</v>
      </c>
    </row>
    <row r="541" spans="2:8" x14ac:dyDescent="0.2">
      <c r="B541" s="4">
        <v>42339</v>
      </c>
      <c r="H541">
        <f t="shared" si="8"/>
        <v>2015</v>
      </c>
    </row>
    <row r="542" spans="2:8" x14ac:dyDescent="0.2">
      <c r="B542" s="4">
        <v>42705</v>
      </c>
      <c r="H542">
        <f t="shared" si="8"/>
        <v>2016</v>
      </c>
    </row>
    <row r="543" spans="2:8" x14ac:dyDescent="0.2">
      <c r="B543" s="4">
        <v>43070</v>
      </c>
      <c r="H543">
        <f t="shared" si="8"/>
        <v>2017</v>
      </c>
    </row>
    <row r="544" spans="2:8" x14ac:dyDescent="0.2">
      <c r="B544" s="4">
        <v>43435</v>
      </c>
      <c r="H544">
        <f t="shared" si="8"/>
        <v>2018</v>
      </c>
    </row>
    <row r="545" spans="2:8" x14ac:dyDescent="0.2">
      <c r="B545" s="4">
        <v>43800</v>
      </c>
      <c r="H545">
        <f t="shared" si="8"/>
        <v>2019</v>
      </c>
    </row>
    <row r="546" spans="2:8" x14ac:dyDescent="0.2">
      <c r="B546" s="4">
        <v>44166</v>
      </c>
      <c r="H546">
        <f t="shared" si="8"/>
        <v>2020</v>
      </c>
    </row>
    <row r="547" spans="2:8" x14ac:dyDescent="0.2">
      <c r="B547" s="4">
        <v>44531</v>
      </c>
      <c r="H547">
        <f t="shared" si="8"/>
        <v>2021</v>
      </c>
    </row>
    <row r="548" spans="2:8" x14ac:dyDescent="0.2">
      <c r="B548" s="4">
        <v>44896</v>
      </c>
      <c r="H548">
        <f t="shared" si="8"/>
        <v>2022</v>
      </c>
    </row>
    <row r="549" spans="2:8" x14ac:dyDescent="0.2">
      <c r="B549" s="4">
        <v>45261</v>
      </c>
      <c r="H549">
        <f t="shared" si="8"/>
        <v>2023</v>
      </c>
    </row>
    <row r="550" spans="2:8" x14ac:dyDescent="0.2">
      <c r="B550" s="4">
        <v>45627</v>
      </c>
      <c r="H550">
        <f t="shared" si="8"/>
        <v>2024</v>
      </c>
    </row>
    <row r="551" spans="2:8" x14ac:dyDescent="0.2">
      <c r="B551" s="4">
        <v>45992</v>
      </c>
      <c r="H551">
        <f t="shared" si="8"/>
        <v>2025</v>
      </c>
    </row>
    <row r="552" spans="2:8" x14ac:dyDescent="0.2">
      <c r="B552" s="4">
        <v>38322</v>
      </c>
      <c r="H552">
        <f t="shared" si="8"/>
        <v>2004</v>
      </c>
    </row>
    <row r="553" spans="2:8" x14ac:dyDescent="0.2">
      <c r="B553" s="4">
        <v>38687</v>
      </c>
      <c r="H553">
        <f t="shared" si="8"/>
        <v>2005</v>
      </c>
    </row>
    <row r="554" spans="2:8" x14ac:dyDescent="0.2">
      <c r="B554" s="4">
        <v>39052</v>
      </c>
      <c r="H554">
        <f t="shared" si="8"/>
        <v>2006</v>
      </c>
    </row>
    <row r="555" spans="2:8" x14ac:dyDescent="0.2">
      <c r="B555" s="4">
        <v>39417</v>
      </c>
      <c r="H555">
        <f t="shared" si="8"/>
        <v>2007</v>
      </c>
    </row>
    <row r="556" spans="2:8" x14ac:dyDescent="0.2">
      <c r="B556" s="4">
        <v>39783</v>
      </c>
      <c r="H556">
        <f t="shared" si="8"/>
        <v>2008</v>
      </c>
    </row>
    <row r="557" spans="2:8" x14ac:dyDescent="0.2">
      <c r="B557" s="4">
        <v>40148</v>
      </c>
      <c r="H557">
        <f t="shared" si="8"/>
        <v>2009</v>
      </c>
    </row>
    <row r="558" spans="2:8" x14ac:dyDescent="0.2">
      <c r="B558" s="4">
        <v>40513</v>
      </c>
      <c r="H558">
        <f t="shared" si="8"/>
        <v>2010</v>
      </c>
    </row>
    <row r="559" spans="2:8" x14ac:dyDescent="0.2">
      <c r="B559" s="4">
        <v>40878</v>
      </c>
      <c r="H559">
        <f t="shared" si="8"/>
        <v>2011</v>
      </c>
    </row>
    <row r="560" spans="2:8" x14ac:dyDescent="0.2">
      <c r="B560" s="4">
        <v>41244</v>
      </c>
      <c r="H560">
        <f t="shared" si="8"/>
        <v>2012</v>
      </c>
    </row>
    <row r="561" spans="2:8" x14ac:dyDescent="0.2">
      <c r="B561" s="4">
        <v>41609</v>
      </c>
      <c r="H561">
        <f t="shared" si="8"/>
        <v>2013</v>
      </c>
    </row>
    <row r="562" spans="2:8" x14ac:dyDescent="0.2">
      <c r="B562" s="4">
        <v>41974</v>
      </c>
      <c r="H562">
        <f t="shared" si="8"/>
        <v>2014</v>
      </c>
    </row>
    <row r="563" spans="2:8" x14ac:dyDescent="0.2">
      <c r="B563" s="4">
        <v>42339</v>
      </c>
      <c r="H563">
        <f t="shared" si="8"/>
        <v>2015</v>
      </c>
    </row>
    <row r="564" spans="2:8" x14ac:dyDescent="0.2">
      <c r="B564" s="4">
        <v>42705</v>
      </c>
      <c r="H564">
        <f t="shared" si="8"/>
        <v>2016</v>
      </c>
    </row>
    <row r="565" spans="2:8" x14ac:dyDescent="0.2">
      <c r="B565" s="4">
        <v>43070</v>
      </c>
      <c r="H565">
        <f t="shared" si="8"/>
        <v>2017</v>
      </c>
    </row>
    <row r="566" spans="2:8" x14ac:dyDescent="0.2">
      <c r="B566" s="4">
        <v>43435</v>
      </c>
      <c r="H566">
        <f t="shared" si="8"/>
        <v>2018</v>
      </c>
    </row>
    <row r="567" spans="2:8" x14ac:dyDescent="0.2">
      <c r="B567" s="4">
        <v>43800</v>
      </c>
      <c r="H567">
        <f t="shared" si="8"/>
        <v>2019</v>
      </c>
    </row>
    <row r="568" spans="2:8" x14ac:dyDescent="0.2">
      <c r="B568" s="4">
        <v>44166</v>
      </c>
      <c r="H568">
        <f t="shared" si="8"/>
        <v>2020</v>
      </c>
    </row>
    <row r="569" spans="2:8" x14ac:dyDescent="0.2">
      <c r="B569" s="4">
        <v>44531</v>
      </c>
      <c r="H569">
        <f t="shared" si="8"/>
        <v>2021</v>
      </c>
    </row>
    <row r="570" spans="2:8" x14ac:dyDescent="0.2">
      <c r="B570" s="4">
        <v>44896</v>
      </c>
      <c r="H570">
        <f t="shared" si="8"/>
        <v>2022</v>
      </c>
    </row>
    <row r="571" spans="2:8" x14ac:dyDescent="0.2">
      <c r="B571" s="4">
        <v>45261</v>
      </c>
      <c r="H571">
        <f t="shared" si="8"/>
        <v>2023</v>
      </c>
    </row>
    <row r="572" spans="2:8" x14ac:dyDescent="0.2">
      <c r="B572" s="4">
        <v>45627</v>
      </c>
      <c r="H572">
        <f t="shared" si="8"/>
        <v>2024</v>
      </c>
    </row>
    <row r="573" spans="2:8" x14ac:dyDescent="0.2">
      <c r="B573" s="4">
        <v>45992</v>
      </c>
      <c r="H573">
        <f t="shared" si="8"/>
        <v>2025</v>
      </c>
    </row>
    <row r="574" spans="2:8" x14ac:dyDescent="0.2">
      <c r="B574" s="4">
        <v>38322</v>
      </c>
      <c r="H574">
        <f t="shared" si="8"/>
        <v>2004</v>
      </c>
    </row>
    <row r="575" spans="2:8" x14ac:dyDescent="0.2">
      <c r="B575" s="4">
        <v>38687</v>
      </c>
      <c r="H575">
        <f t="shared" si="8"/>
        <v>2005</v>
      </c>
    </row>
    <row r="576" spans="2:8" x14ac:dyDescent="0.2">
      <c r="B576" s="4">
        <v>39052</v>
      </c>
      <c r="H576">
        <f t="shared" si="8"/>
        <v>2006</v>
      </c>
    </row>
    <row r="577" spans="2:8" x14ac:dyDescent="0.2">
      <c r="B577" s="4">
        <v>39417</v>
      </c>
      <c r="H577">
        <f t="shared" si="8"/>
        <v>2007</v>
      </c>
    </row>
    <row r="578" spans="2:8" x14ac:dyDescent="0.2">
      <c r="B578" s="4">
        <v>39783</v>
      </c>
      <c r="H578">
        <f t="shared" si="8"/>
        <v>2008</v>
      </c>
    </row>
    <row r="579" spans="2:8" x14ac:dyDescent="0.2">
      <c r="B579" s="4">
        <v>40148</v>
      </c>
      <c r="H579">
        <f t="shared" ref="H579:H642" si="9">YEAR(B579)</f>
        <v>2009</v>
      </c>
    </row>
    <row r="580" spans="2:8" x14ac:dyDescent="0.2">
      <c r="B580" s="4">
        <v>40513</v>
      </c>
      <c r="H580">
        <f t="shared" si="9"/>
        <v>2010</v>
      </c>
    </row>
    <row r="581" spans="2:8" x14ac:dyDescent="0.2">
      <c r="B581" s="4">
        <v>40878</v>
      </c>
      <c r="H581">
        <f t="shared" si="9"/>
        <v>2011</v>
      </c>
    </row>
    <row r="582" spans="2:8" x14ac:dyDescent="0.2">
      <c r="B582" s="4">
        <v>41244</v>
      </c>
      <c r="H582">
        <f t="shared" si="9"/>
        <v>2012</v>
      </c>
    </row>
    <row r="583" spans="2:8" x14ac:dyDescent="0.2">
      <c r="B583" s="4">
        <v>41609</v>
      </c>
      <c r="H583">
        <f t="shared" si="9"/>
        <v>2013</v>
      </c>
    </row>
    <row r="584" spans="2:8" x14ac:dyDescent="0.2">
      <c r="B584" s="4">
        <v>41974</v>
      </c>
      <c r="H584">
        <f t="shared" si="9"/>
        <v>2014</v>
      </c>
    </row>
    <row r="585" spans="2:8" x14ac:dyDescent="0.2">
      <c r="B585" s="4">
        <v>42339</v>
      </c>
      <c r="H585">
        <f t="shared" si="9"/>
        <v>2015</v>
      </c>
    </row>
    <row r="586" spans="2:8" x14ac:dyDescent="0.2">
      <c r="B586" s="4">
        <v>42705</v>
      </c>
      <c r="H586">
        <f t="shared" si="9"/>
        <v>2016</v>
      </c>
    </row>
    <row r="587" spans="2:8" x14ac:dyDescent="0.2">
      <c r="B587" s="4">
        <v>43070</v>
      </c>
      <c r="H587">
        <f t="shared" si="9"/>
        <v>2017</v>
      </c>
    </row>
    <row r="588" spans="2:8" x14ac:dyDescent="0.2">
      <c r="B588" s="4">
        <v>43435</v>
      </c>
      <c r="H588">
        <f t="shared" si="9"/>
        <v>2018</v>
      </c>
    </row>
    <row r="589" spans="2:8" x14ac:dyDescent="0.2">
      <c r="B589" s="4">
        <v>43800</v>
      </c>
      <c r="H589">
        <f t="shared" si="9"/>
        <v>2019</v>
      </c>
    </row>
    <row r="590" spans="2:8" x14ac:dyDescent="0.2">
      <c r="B590" s="4">
        <v>44166</v>
      </c>
      <c r="H590">
        <f t="shared" si="9"/>
        <v>2020</v>
      </c>
    </row>
    <row r="591" spans="2:8" x14ac:dyDescent="0.2">
      <c r="B591" s="4">
        <v>44531</v>
      </c>
      <c r="H591">
        <f t="shared" si="9"/>
        <v>2021</v>
      </c>
    </row>
    <row r="592" spans="2:8" x14ac:dyDescent="0.2">
      <c r="B592" s="4">
        <v>44896</v>
      </c>
      <c r="H592">
        <f t="shared" si="9"/>
        <v>2022</v>
      </c>
    </row>
    <row r="593" spans="2:8" x14ac:dyDescent="0.2">
      <c r="B593" s="4">
        <v>45261</v>
      </c>
      <c r="H593">
        <f t="shared" si="9"/>
        <v>2023</v>
      </c>
    </row>
    <row r="594" spans="2:8" x14ac:dyDescent="0.2">
      <c r="B594" s="4">
        <v>45627</v>
      </c>
      <c r="H594">
        <f t="shared" si="9"/>
        <v>2024</v>
      </c>
    </row>
    <row r="595" spans="2:8" x14ac:dyDescent="0.2">
      <c r="B595" s="4">
        <v>45992</v>
      </c>
      <c r="H595">
        <f t="shared" si="9"/>
        <v>2025</v>
      </c>
    </row>
    <row r="596" spans="2:8" x14ac:dyDescent="0.2">
      <c r="B596" s="4">
        <v>38322</v>
      </c>
      <c r="H596">
        <f t="shared" si="9"/>
        <v>2004</v>
      </c>
    </row>
    <row r="597" spans="2:8" x14ac:dyDescent="0.2">
      <c r="B597" s="4">
        <v>38687</v>
      </c>
      <c r="H597">
        <f t="shared" si="9"/>
        <v>2005</v>
      </c>
    </row>
    <row r="598" spans="2:8" x14ac:dyDescent="0.2">
      <c r="B598" s="4">
        <v>39052</v>
      </c>
      <c r="H598">
        <f t="shared" si="9"/>
        <v>2006</v>
      </c>
    </row>
    <row r="599" spans="2:8" x14ac:dyDescent="0.2">
      <c r="B599" s="4">
        <v>39417</v>
      </c>
      <c r="H599">
        <f t="shared" si="9"/>
        <v>2007</v>
      </c>
    </row>
    <row r="600" spans="2:8" x14ac:dyDescent="0.2">
      <c r="B600" s="4">
        <v>39783</v>
      </c>
      <c r="H600">
        <f t="shared" si="9"/>
        <v>2008</v>
      </c>
    </row>
    <row r="601" spans="2:8" x14ac:dyDescent="0.2">
      <c r="B601" s="4">
        <v>40148</v>
      </c>
      <c r="H601">
        <f t="shared" si="9"/>
        <v>2009</v>
      </c>
    </row>
    <row r="602" spans="2:8" x14ac:dyDescent="0.2">
      <c r="B602" s="4">
        <v>40513</v>
      </c>
      <c r="H602">
        <f t="shared" si="9"/>
        <v>2010</v>
      </c>
    </row>
    <row r="603" spans="2:8" x14ac:dyDescent="0.2">
      <c r="B603" s="4">
        <v>40878</v>
      </c>
      <c r="H603">
        <f t="shared" si="9"/>
        <v>2011</v>
      </c>
    </row>
    <row r="604" spans="2:8" x14ac:dyDescent="0.2">
      <c r="B604" s="4">
        <v>41244</v>
      </c>
      <c r="H604">
        <f t="shared" si="9"/>
        <v>2012</v>
      </c>
    </row>
    <row r="605" spans="2:8" x14ac:dyDescent="0.2">
      <c r="B605" s="4">
        <v>41609</v>
      </c>
      <c r="H605">
        <f t="shared" si="9"/>
        <v>2013</v>
      </c>
    </row>
    <row r="606" spans="2:8" x14ac:dyDescent="0.2">
      <c r="B606" s="4">
        <v>41974</v>
      </c>
      <c r="H606">
        <f t="shared" si="9"/>
        <v>2014</v>
      </c>
    </row>
    <row r="607" spans="2:8" x14ac:dyDescent="0.2">
      <c r="B607" s="4">
        <v>42339</v>
      </c>
      <c r="H607">
        <f t="shared" si="9"/>
        <v>2015</v>
      </c>
    </row>
    <row r="608" spans="2:8" x14ac:dyDescent="0.2">
      <c r="B608" s="4">
        <v>42705</v>
      </c>
      <c r="H608">
        <f t="shared" si="9"/>
        <v>2016</v>
      </c>
    </row>
    <row r="609" spans="2:8" x14ac:dyDescent="0.2">
      <c r="B609" s="4">
        <v>43070</v>
      </c>
      <c r="H609">
        <f t="shared" si="9"/>
        <v>2017</v>
      </c>
    </row>
    <row r="610" spans="2:8" x14ac:dyDescent="0.2">
      <c r="B610" s="4">
        <v>43435</v>
      </c>
      <c r="H610">
        <f t="shared" si="9"/>
        <v>2018</v>
      </c>
    </row>
    <row r="611" spans="2:8" x14ac:dyDescent="0.2">
      <c r="B611" s="4">
        <v>43800</v>
      </c>
      <c r="H611">
        <f t="shared" si="9"/>
        <v>2019</v>
      </c>
    </row>
    <row r="612" spans="2:8" x14ac:dyDescent="0.2">
      <c r="B612" s="4">
        <v>44166</v>
      </c>
      <c r="H612">
        <f t="shared" si="9"/>
        <v>2020</v>
      </c>
    </row>
    <row r="613" spans="2:8" x14ac:dyDescent="0.2">
      <c r="B613" s="4">
        <v>44531</v>
      </c>
      <c r="H613">
        <f t="shared" si="9"/>
        <v>2021</v>
      </c>
    </row>
    <row r="614" spans="2:8" x14ac:dyDescent="0.2">
      <c r="B614" s="4">
        <v>44896</v>
      </c>
      <c r="H614">
        <f t="shared" si="9"/>
        <v>2022</v>
      </c>
    </row>
    <row r="615" spans="2:8" x14ac:dyDescent="0.2">
      <c r="B615" s="4">
        <v>45261</v>
      </c>
      <c r="H615">
        <f t="shared" si="9"/>
        <v>2023</v>
      </c>
    </row>
    <row r="616" spans="2:8" x14ac:dyDescent="0.2">
      <c r="B616" s="4">
        <v>45627</v>
      </c>
      <c r="H616">
        <f t="shared" si="9"/>
        <v>2024</v>
      </c>
    </row>
    <row r="617" spans="2:8" x14ac:dyDescent="0.2">
      <c r="B617" s="4">
        <v>45992</v>
      </c>
      <c r="H617">
        <f t="shared" si="9"/>
        <v>2025</v>
      </c>
    </row>
    <row r="618" spans="2:8" x14ac:dyDescent="0.2">
      <c r="B618" s="4">
        <v>38322</v>
      </c>
      <c r="H618">
        <f t="shared" si="9"/>
        <v>2004</v>
      </c>
    </row>
    <row r="619" spans="2:8" x14ac:dyDescent="0.2">
      <c r="B619" s="4">
        <v>38687</v>
      </c>
      <c r="H619">
        <f t="shared" si="9"/>
        <v>2005</v>
      </c>
    </row>
    <row r="620" spans="2:8" x14ac:dyDescent="0.2">
      <c r="B620" s="4">
        <v>39052</v>
      </c>
      <c r="H620">
        <f t="shared" si="9"/>
        <v>2006</v>
      </c>
    </row>
    <row r="621" spans="2:8" x14ac:dyDescent="0.2">
      <c r="B621" s="4">
        <v>39417</v>
      </c>
      <c r="H621">
        <f t="shared" si="9"/>
        <v>2007</v>
      </c>
    </row>
    <row r="622" spans="2:8" x14ac:dyDescent="0.2">
      <c r="B622" s="4">
        <v>39783</v>
      </c>
      <c r="H622">
        <f t="shared" si="9"/>
        <v>2008</v>
      </c>
    </row>
    <row r="623" spans="2:8" x14ac:dyDescent="0.2">
      <c r="B623" s="4">
        <v>40148</v>
      </c>
      <c r="H623">
        <f t="shared" si="9"/>
        <v>2009</v>
      </c>
    </row>
    <row r="624" spans="2:8" x14ac:dyDescent="0.2">
      <c r="B624" s="4">
        <v>40513</v>
      </c>
      <c r="H624">
        <f t="shared" si="9"/>
        <v>2010</v>
      </c>
    </row>
    <row r="625" spans="2:8" x14ac:dyDescent="0.2">
      <c r="B625" s="4">
        <v>40878</v>
      </c>
      <c r="H625">
        <f t="shared" si="9"/>
        <v>2011</v>
      </c>
    </row>
    <row r="626" spans="2:8" x14ac:dyDescent="0.2">
      <c r="B626" s="4">
        <v>41244</v>
      </c>
      <c r="H626">
        <f t="shared" si="9"/>
        <v>2012</v>
      </c>
    </row>
    <row r="627" spans="2:8" x14ac:dyDescent="0.2">
      <c r="B627" s="4">
        <v>41609</v>
      </c>
      <c r="H627">
        <f t="shared" si="9"/>
        <v>2013</v>
      </c>
    </row>
    <row r="628" spans="2:8" x14ac:dyDescent="0.2">
      <c r="B628" s="4">
        <v>41974</v>
      </c>
      <c r="H628">
        <f t="shared" si="9"/>
        <v>2014</v>
      </c>
    </row>
    <row r="629" spans="2:8" x14ac:dyDescent="0.2">
      <c r="B629" s="4">
        <v>42339</v>
      </c>
      <c r="H629">
        <f t="shared" si="9"/>
        <v>2015</v>
      </c>
    </row>
    <row r="630" spans="2:8" x14ac:dyDescent="0.2">
      <c r="B630" s="4">
        <v>42705</v>
      </c>
      <c r="H630">
        <f t="shared" si="9"/>
        <v>2016</v>
      </c>
    </row>
    <row r="631" spans="2:8" x14ac:dyDescent="0.2">
      <c r="B631" s="4">
        <v>43070</v>
      </c>
      <c r="H631">
        <f t="shared" si="9"/>
        <v>2017</v>
      </c>
    </row>
    <row r="632" spans="2:8" x14ac:dyDescent="0.2">
      <c r="B632" s="4">
        <v>43435</v>
      </c>
      <c r="H632">
        <f t="shared" si="9"/>
        <v>2018</v>
      </c>
    </row>
    <row r="633" spans="2:8" x14ac:dyDescent="0.2">
      <c r="B633" s="4">
        <v>43800</v>
      </c>
      <c r="H633">
        <f t="shared" si="9"/>
        <v>2019</v>
      </c>
    </row>
    <row r="634" spans="2:8" x14ac:dyDescent="0.2">
      <c r="B634" s="4">
        <v>44166</v>
      </c>
      <c r="H634">
        <f t="shared" si="9"/>
        <v>2020</v>
      </c>
    </row>
    <row r="635" spans="2:8" x14ac:dyDescent="0.2">
      <c r="B635" s="4">
        <v>44531</v>
      </c>
      <c r="H635">
        <f t="shared" si="9"/>
        <v>2021</v>
      </c>
    </row>
    <row r="636" spans="2:8" x14ac:dyDescent="0.2">
      <c r="B636" s="4">
        <v>44896</v>
      </c>
      <c r="H636">
        <f t="shared" si="9"/>
        <v>2022</v>
      </c>
    </row>
    <row r="637" spans="2:8" x14ac:dyDescent="0.2">
      <c r="B637" s="4">
        <v>45261</v>
      </c>
      <c r="H637">
        <f t="shared" si="9"/>
        <v>2023</v>
      </c>
    </row>
    <row r="638" spans="2:8" x14ac:dyDescent="0.2">
      <c r="B638" s="4">
        <v>45627</v>
      </c>
      <c r="H638">
        <f t="shared" si="9"/>
        <v>2024</v>
      </c>
    </row>
    <row r="639" spans="2:8" x14ac:dyDescent="0.2">
      <c r="B639" s="4">
        <v>45992</v>
      </c>
      <c r="H639">
        <f t="shared" si="9"/>
        <v>2025</v>
      </c>
    </row>
    <row r="640" spans="2:8" x14ac:dyDescent="0.2">
      <c r="B640" s="4">
        <v>38322</v>
      </c>
      <c r="H640">
        <f t="shared" si="9"/>
        <v>2004</v>
      </c>
    </row>
    <row r="641" spans="2:8" x14ac:dyDescent="0.2">
      <c r="B641" s="4">
        <v>38687</v>
      </c>
      <c r="H641">
        <f t="shared" si="9"/>
        <v>2005</v>
      </c>
    </row>
    <row r="642" spans="2:8" x14ac:dyDescent="0.2">
      <c r="B642" s="4">
        <v>39052</v>
      </c>
      <c r="H642">
        <f t="shared" si="9"/>
        <v>2006</v>
      </c>
    </row>
    <row r="643" spans="2:8" x14ac:dyDescent="0.2">
      <c r="B643" s="4">
        <v>39417</v>
      </c>
      <c r="H643">
        <f t="shared" ref="H643:H706" si="10">YEAR(B643)</f>
        <v>2007</v>
      </c>
    </row>
    <row r="644" spans="2:8" x14ac:dyDescent="0.2">
      <c r="B644" s="4">
        <v>39783</v>
      </c>
      <c r="H644">
        <f t="shared" si="10"/>
        <v>2008</v>
      </c>
    </row>
    <row r="645" spans="2:8" x14ac:dyDescent="0.2">
      <c r="B645" s="4">
        <v>40148</v>
      </c>
      <c r="H645">
        <f t="shared" si="10"/>
        <v>2009</v>
      </c>
    </row>
    <row r="646" spans="2:8" x14ac:dyDescent="0.2">
      <c r="B646" s="4">
        <v>40513</v>
      </c>
      <c r="H646">
        <f t="shared" si="10"/>
        <v>2010</v>
      </c>
    </row>
    <row r="647" spans="2:8" x14ac:dyDescent="0.2">
      <c r="B647" s="4">
        <v>40878</v>
      </c>
      <c r="H647">
        <f t="shared" si="10"/>
        <v>2011</v>
      </c>
    </row>
    <row r="648" spans="2:8" x14ac:dyDescent="0.2">
      <c r="B648" s="4">
        <v>41244</v>
      </c>
      <c r="H648">
        <f t="shared" si="10"/>
        <v>2012</v>
      </c>
    </row>
    <row r="649" spans="2:8" x14ac:dyDescent="0.2">
      <c r="B649" s="4">
        <v>41609</v>
      </c>
      <c r="H649">
        <f t="shared" si="10"/>
        <v>2013</v>
      </c>
    </row>
    <row r="650" spans="2:8" x14ac:dyDescent="0.2">
      <c r="B650" s="4">
        <v>41974</v>
      </c>
      <c r="H650">
        <f t="shared" si="10"/>
        <v>2014</v>
      </c>
    </row>
    <row r="651" spans="2:8" x14ac:dyDescent="0.2">
      <c r="B651" s="4">
        <v>42339</v>
      </c>
      <c r="H651">
        <f t="shared" si="10"/>
        <v>2015</v>
      </c>
    </row>
    <row r="652" spans="2:8" x14ac:dyDescent="0.2">
      <c r="B652" s="4">
        <v>42705</v>
      </c>
      <c r="H652">
        <f t="shared" si="10"/>
        <v>2016</v>
      </c>
    </row>
    <row r="653" spans="2:8" x14ac:dyDescent="0.2">
      <c r="B653" s="4">
        <v>43070</v>
      </c>
      <c r="H653">
        <f t="shared" si="10"/>
        <v>2017</v>
      </c>
    </row>
    <row r="654" spans="2:8" x14ac:dyDescent="0.2">
      <c r="B654" s="4">
        <v>43435</v>
      </c>
      <c r="H654">
        <f t="shared" si="10"/>
        <v>2018</v>
      </c>
    </row>
    <row r="655" spans="2:8" x14ac:dyDescent="0.2">
      <c r="B655" s="4">
        <v>43800</v>
      </c>
      <c r="H655">
        <f t="shared" si="10"/>
        <v>2019</v>
      </c>
    </row>
    <row r="656" spans="2:8" x14ac:dyDescent="0.2">
      <c r="B656" s="4">
        <v>44166</v>
      </c>
      <c r="H656">
        <f t="shared" si="10"/>
        <v>2020</v>
      </c>
    </row>
    <row r="657" spans="2:8" x14ac:dyDescent="0.2">
      <c r="B657" s="4">
        <v>44531</v>
      </c>
      <c r="H657">
        <f t="shared" si="10"/>
        <v>2021</v>
      </c>
    </row>
    <row r="658" spans="2:8" x14ac:dyDescent="0.2">
      <c r="B658" s="4">
        <v>44896</v>
      </c>
      <c r="H658">
        <f t="shared" si="10"/>
        <v>2022</v>
      </c>
    </row>
    <row r="659" spans="2:8" x14ac:dyDescent="0.2">
      <c r="B659" s="4">
        <v>45261</v>
      </c>
      <c r="H659">
        <f t="shared" si="10"/>
        <v>2023</v>
      </c>
    </row>
    <row r="660" spans="2:8" x14ac:dyDescent="0.2">
      <c r="B660" s="4">
        <v>45627</v>
      </c>
      <c r="H660">
        <f t="shared" si="10"/>
        <v>2024</v>
      </c>
    </row>
    <row r="661" spans="2:8" x14ac:dyDescent="0.2">
      <c r="B661" s="4">
        <v>45992</v>
      </c>
      <c r="H661">
        <f t="shared" si="10"/>
        <v>2025</v>
      </c>
    </row>
    <row r="662" spans="2:8" x14ac:dyDescent="0.2">
      <c r="B662" s="4">
        <v>38322</v>
      </c>
      <c r="H662">
        <f t="shared" si="10"/>
        <v>2004</v>
      </c>
    </row>
    <row r="663" spans="2:8" x14ac:dyDescent="0.2">
      <c r="B663" s="4">
        <v>38687</v>
      </c>
      <c r="H663">
        <f t="shared" si="10"/>
        <v>2005</v>
      </c>
    </row>
    <row r="664" spans="2:8" x14ac:dyDescent="0.2">
      <c r="B664" s="4">
        <v>39052</v>
      </c>
      <c r="H664">
        <f t="shared" si="10"/>
        <v>2006</v>
      </c>
    </row>
    <row r="665" spans="2:8" x14ac:dyDescent="0.2">
      <c r="B665" s="4">
        <v>39417</v>
      </c>
      <c r="H665">
        <f t="shared" si="10"/>
        <v>2007</v>
      </c>
    </row>
    <row r="666" spans="2:8" x14ac:dyDescent="0.2">
      <c r="B666" s="4">
        <v>39783</v>
      </c>
      <c r="H666">
        <f t="shared" si="10"/>
        <v>2008</v>
      </c>
    </row>
    <row r="667" spans="2:8" x14ac:dyDescent="0.2">
      <c r="B667" s="4">
        <v>40148</v>
      </c>
      <c r="H667">
        <f t="shared" si="10"/>
        <v>2009</v>
      </c>
    </row>
    <row r="668" spans="2:8" x14ac:dyDescent="0.2">
      <c r="B668" s="4">
        <v>40513</v>
      </c>
      <c r="H668">
        <f t="shared" si="10"/>
        <v>2010</v>
      </c>
    </row>
    <row r="669" spans="2:8" x14ac:dyDescent="0.2">
      <c r="B669" s="4">
        <v>40878</v>
      </c>
      <c r="H669">
        <f t="shared" si="10"/>
        <v>2011</v>
      </c>
    </row>
    <row r="670" spans="2:8" x14ac:dyDescent="0.2">
      <c r="B670" s="4">
        <v>41244</v>
      </c>
      <c r="H670">
        <f t="shared" si="10"/>
        <v>2012</v>
      </c>
    </row>
    <row r="671" spans="2:8" x14ac:dyDescent="0.2">
      <c r="B671" s="4">
        <v>41609</v>
      </c>
      <c r="H671">
        <f t="shared" si="10"/>
        <v>2013</v>
      </c>
    </row>
    <row r="672" spans="2:8" x14ac:dyDescent="0.2">
      <c r="B672" s="4">
        <v>41974</v>
      </c>
      <c r="H672">
        <f t="shared" si="10"/>
        <v>2014</v>
      </c>
    </row>
    <row r="673" spans="2:8" x14ac:dyDescent="0.2">
      <c r="B673" s="4">
        <v>42339</v>
      </c>
      <c r="H673">
        <f t="shared" si="10"/>
        <v>2015</v>
      </c>
    </row>
    <row r="674" spans="2:8" x14ac:dyDescent="0.2">
      <c r="B674" s="4">
        <v>42705</v>
      </c>
      <c r="H674">
        <f t="shared" si="10"/>
        <v>2016</v>
      </c>
    </row>
    <row r="675" spans="2:8" x14ac:dyDescent="0.2">
      <c r="B675" s="4">
        <v>43070</v>
      </c>
      <c r="H675">
        <f t="shared" si="10"/>
        <v>2017</v>
      </c>
    </row>
    <row r="676" spans="2:8" x14ac:dyDescent="0.2">
      <c r="B676" s="4">
        <v>43435</v>
      </c>
      <c r="H676">
        <f t="shared" si="10"/>
        <v>2018</v>
      </c>
    </row>
    <row r="677" spans="2:8" x14ac:dyDescent="0.2">
      <c r="B677" s="4">
        <v>43800</v>
      </c>
      <c r="H677">
        <f t="shared" si="10"/>
        <v>2019</v>
      </c>
    </row>
    <row r="678" spans="2:8" x14ac:dyDescent="0.2">
      <c r="B678" s="4">
        <v>44166</v>
      </c>
      <c r="H678">
        <f t="shared" si="10"/>
        <v>2020</v>
      </c>
    </row>
    <row r="679" spans="2:8" x14ac:dyDescent="0.2">
      <c r="B679" s="4">
        <v>44531</v>
      </c>
      <c r="H679">
        <f t="shared" si="10"/>
        <v>2021</v>
      </c>
    </row>
    <row r="680" spans="2:8" x14ac:dyDescent="0.2">
      <c r="B680" s="4">
        <v>44896</v>
      </c>
      <c r="H680">
        <f t="shared" si="10"/>
        <v>2022</v>
      </c>
    </row>
    <row r="681" spans="2:8" x14ac:dyDescent="0.2">
      <c r="B681" s="4">
        <v>45261</v>
      </c>
      <c r="H681">
        <f t="shared" si="10"/>
        <v>2023</v>
      </c>
    </row>
    <row r="682" spans="2:8" x14ac:dyDescent="0.2">
      <c r="B682" s="4">
        <v>45627</v>
      </c>
      <c r="H682">
        <f t="shared" si="10"/>
        <v>2024</v>
      </c>
    </row>
    <row r="683" spans="2:8" x14ac:dyDescent="0.2">
      <c r="B683" s="4">
        <v>45992</v>
      </c>
      <c r="H683">
        <f t="shared" si="10"/>
        <v>2025</v>
      </c>
    </row>
    <row r="684" spans="2:8" x14ac:dyDescent="0.2">
      <c r="B684" s="4">
        <v>38322</v>
      </c>
      <c r="H684">
        <f t="shared" si="10"/>
        <v>2004</v>
      </c>
    </row>
    <row r="685" spans="2:8" x14ac:dyDescent="0.2">
      <c r="B685" s="4">
        <v>38687</v>
      </c>
      <c r="H685">
        <f t="shared" si="10"/>
        <v>2005</v>
      </c>
    </row>
    <row r="686" spans="2:8" x14ac:dyDescent="0.2">
      <c r="B686" s="4">
        <v>39052</v>
      </c>
      <c r="H686">
        <f t="shared" si="10"/>
        <v>2006</v>
      </c>
    </row>
    <row r="687" spans="2:8" x14ac:dyDescent="0.2">
      <c r="B687" s="4">
        <v>39417</v>
      </c>
      <c r="H687">
        <f t="shared" si="10"/>
        <v>2007</v>
      </c>
    </row>
    <row r="688" spans="2:8" x14ac:dyDescent="0.2">
      <c r="B688" s="4">
        <v>39783</v>
      </c>
      <c r="H688">
        <f t="shared" si="10"/>
        <v>2008</v>
      </c>
    </row>
    <row r="689" spans="2:8" x14ac:dyDescent="0.2">
      <c r="B689" s="4">
        <v>40148</v>
      </c>
      <c r="H689">
        <f t="shared" si="10"/>
        <v>2009</v>
      </c>
    </row>
    <row r="690" spans="2:8" x14ac:dyDescent="0.2">
      <c r="B690" s="4">
        <v>40513</v>
      </c>
      <c r="H690">
        <f t="shared" si="10"/>
        <v>2010</v>
      </c>
    </row>
    <row r="691" spans="2:8" x14ac:dyDescent="0.2">
      <c r="B691" s="4">
        <v>40878</v>
      </c>
      <c r="H691">
        <f t="shared" si="10"/>
        <v>2011</v>
      </c>
    </row>
    <row r="692" spans="2:8" x14ac:dyDescent="0.2">
      <c r="B692" s="4">
        <v>41244</v>
      </c>
      <c r="H692">
        <f t="shared" si="10"/>
        <v>2012</v>
      </c>
    </row>
    <row r="693" spans="2:8" x14ac:dyDescent="0.2">
      <c r="B693" s="4">
        <v>41609</v>
      </c>
      <c r="H693">
        <f t="shared" si="10"/>
        <v>2013</v>
      </c>
    </row>
    <row r="694" spans="2:8" x14ac:dyDescent="0.2">
      <c r="B694" s="4">
        <v>41974</v>
      </c>
      <c r="H694">
        <f t="shared" si="10"/>
        <v>2014</v>
      </c>
    </row>
    <row r="695" spans="2:8" x14ac:dyDescent="0.2">
      <c r="B695" s="4">
        <v>42339</v>
      </c>
      <c r="H695">
        <f t="shared" si="10"/>
        <v>2015</v>
      </c>
    </row>
    <row r="696" spans="2:8" x14ac:dyDescent="0.2">
      <c r="B696" s="4">
        <v>42705</v>
      </c>
      <c r="H696">
        <f t="shared" si="10"/>
        <v>2016</v>
      </c>
    </row>
    <row r="697" spans="2:8" x14ac:dyDescent="0.2">
      <c r="B697" s="4">
        <v>43070</v>
      </c>
      <c r="H697">
        <f t="shared" si="10"/>
        <v>2017</v>
      </c>
    </row>
    <row r="698" spans="2:8" x14ac:dyDescent="0.2">
      <c r="B698" s="4">
        <v>43435</v>
      </c>
      <c r="H698">
        <f t="shared" si="10"/>
        <v>2018</v>
      </c>
    </row>
    <row r="699" spans="2:8" x14ac:dyDescent="0.2">
      <c r="B699" s="4">
        <v>43800</v>
      </c>
      <c r="H699">
        <f t="shared" si="10"/>
        <v>2019</v>
      </c>
    </row>
    <row r="700" spans="2:8" x14ac:dyDescent="0.2">
      <c r="B700" s="4">
        <v>44166</v>
      </c>
      <c r="H700">
        <f t="shared" si="10"/>
        <v>2020</v>
      </c>
    </row>
    <row r="701" spans="2:8" x14ac:dyDescent="0.2">
      <c r="B701" s="4">
        <v>44531</v>
      </c>
      <c r="H701">
        <f t="shared" si="10"/>
        <v>2021</v>
      </c>
    </row>
    <row r="702" spans="2:8" x14ac:dyDescent="0.2">
      <c r="B702" s="4">
        <v>44896</v>
      </c>
      <c r="H702">
        <f t="shared" si="10"/>
        <v>2022</v>
      </c>
    </row>
    <row r="703" spans="2:8" x14ac:dyDescent="0.2">
      <c r="B703" s="4">
        <v>45261</v>
      </c>
      <c r="H703">
        <f t="shared" si="10"/>
        <v>2023</v>
      </c>
    </row>
    <row r="704" spans="2:8" x14ac:dyDescent="0.2">
      <c r="B704" s="4">
        <v>45627</v>
      </c>
      <c r="H704">
        <f t="shared" si="10"/>
        <v>2024</v>
      </c>
    </row>
    <row r="705" spans="2:8" x14ac:dyDescent="0.2">
      <c r="B705" s="4">
        <v>45992</v>
      </c>
      <c r="H705">
        <f t="shared" si="10"/>
        <v>2025</v>
      </c>
    </row>
    <row r="706" spans="2:8" x14ac:dyDescent="0.2">
      <c r="B706" s="4">
        <v>38322</v>
      </c>
      <c r="H706">
        <f t="shared" si="10"/>
        <v>2004</v>
      </c>
    </row>
    <row r="707" spans="2:8" x14ac:dyDescent="0.2">
      <c r="B707" s="4">
        <v>38687</v>
      </c>
      <c r="H707">
        <f t="shared" ref="H707:H770" si="11">YEAR(B707)</f>
        <v>2005</v>
      </c>
    </row>
    <row r="708" spans="2:8" x14ac:dyDescent="0.2">
      <c r="B708" s="4">
        <v>39052</v>
      </c>
      <c r="H708">
        <f t="shared" si="11"/>
        <v>2006</v>
      </c>
    </row>
    <row r="709" spans="2:8" x14ac:dyDescent="0.2">
      <c r="B709" s="4">
        <v>39417</v>
      </c>
      <c r="H709">
        <f t="shared" si="11"/>
        <v>2007</v>
      </c>
    </row>
    <row r="710" spans="2:8" x14ac:dyDescent="0.2">
      <c r="B710" s="4">
        <v>39783</v>
      </c>
      <c r="H710">
        <f t="shared" si="11"/>
        <v>2008</v>
      </c>
    </row>
    <row r="711" spans="2:8" x14ac:dyDescent="0.2">
      <c r="B711" s="4">
        <v>40148</v>
      </c>
      <c r="H711">
        <f t="shared" si="11"/>
        <v>2009</v>
      </c>
    </row>
    <row r="712" spans="2:8" x14ac:dyDescent="0.2">
      <c r="B712" s="4">
        <v>40513</v>
      </c>
      <c r="H712">
        <f t="shared" si="11"/>
        <v>2010</v>
      </c>
    </row>
    <row r="713" spans="2:8" x14ac:dyDescent="0.2">
      <c r="B713" s="4">
        <v>40878</v>
      </c>
      <c r="H713">
        <f t="shared" si="11"/>
        <v>2011</v>
      </c>
    </row>
    <row r="714" spans="2:8" x14ac:dyDescent="0.2">
      <c r="B714" s="4">
        <v>41244</v>
      </c>
      <c r="H714">
        <f t="shared" si="11"/>
        <v>2012</v>
      </c>
    </row>
    <row r="715" spans="2:8" x14ac:dyDescent="0.2">
      <c r="B715" s="4">
        <v>41609</v>
      </c>
      <c r="H715">
        <f t="shared" si="11"/>
        <v>2013</v>
      </c>
    </row>
    <row r="716" spans="2:8" x14ac:dyDescent="0.2">
      <c r="B716" s="4">
        <v>41974</v>
      </c>
      <c r="H716">
        <f t="shared" si="11"/>
        <v>2014</v>
      </c>
    </row>
    <row r="717" spans="2:8" x14ac:dyDescent="0.2">
      <c r="B717" s="4">
        <v>42339</v>
      </c>
      <c r="H717">
        <f t="shared" si="11"/>
        <v>2015</v>
      </c>
    </row>
    <row r="718" spans="2:8" x14ac:dyDescent="0.2">
      <c r="B718" s="4">
        <v>42705</v>
      </c>
      <c r="H718">
        <f t="shared" si="11"/>
        <v>2016</v>
      </c>
    </row>
    <row r="719" spans="2:8" x14ac:dyDescent="0.2">
      <c r="B719" s="4">
        <v>43070</v>
      </c>
      <c r="H719">
        <f t="shared" si="11"/>
        <v>2017</v>
      </c>
    </row>
    <row r="720" spans="2:8" x14ac:dyDescent="0.2">
      <c r="B720" s="4">
        <v>43435</v>
      </c>
      <c r="H720">
        <f t="shared" si="11"/>
        <v>2018</v>
      </c>
    </row>
    <row r="721" spans="2:8" x14ac:dyDescent="0.2">
      <c r="B721" s="4">
        <v>43800</v>
      </c>
      <c r="H721">
        <f t="shared" si="11"/>
        <v>2019</v>
      </c>
    </row>
    <row r="722" spans="2:8" x14ac:dyDescent="0.2">
      <c r="B722" s="4">
        <v>44166</v>
      </c>
      <c r="H722">
        <f t="shared" si="11"/>
        <v>2020</v>
      </c>
    </row>
    <row r="723" spans="2:8" x14ac:dyDescent="0.2">
      <c r="B723" s="4">
        <v>44531</v>
      </c>
      <c r="H723">
        <f t="shared" si="11"/>
        <v>2021</v>
      </c>
    </row>
    <row r="724" spans="2:8" x14ac:dyDescent="0.2">
      <c r="B724" s="4">
        <v>44896</v>
      </c>
      <c r="H724">
        <f t="shared" si="11"/>
        <v>2022</v>
      </c>
    </row>
    <row r="725" spans="2:8" x14ac:dyDescent="0.2">
      <c r="B725" s="4">
        <v>45261</v>
      </c>
      <c r="H725">
        <f t="shared" si="11"/>
        <v>2023</v>
      </c>
    </row>
    <row r="726" spans="2:8" x14ac:dyDescent="0.2">
      <c r="B726" s="4">
        <v>45627</v>
      </c>
      <c r="H726">
        <f t="shared" si="11"/>
        <v>2024</v>
      </c>
    </row>
    <row r="727" spans="2:8" x14ac:dyDescent="0.2">
      <c r="B727" s="4">
        <v>45992</v>
      </c>
      <c r="H727">
        <f t="shared" si="11"/>
        <v>2025</v>
      </c>
    </row>
    <row r="728" spans="2:8" x14ac:dyDescent="0.2">
      <c r="B728" s="4">
        <v>38322</v>
      </c>
      <c r="H728">
        <f t="shared" si="11"/>
        <v>2004</v>
      </c>
    </row>
    <row r="729" spans="2:8" x14ac:dyDescent="0.2">
      <c r="B729" s="4">
        <v>38687</v>
      </c>
      <c r="H729">
        <f t="shared" si="11"/>
        <v>2005</v>
      </c>
    </row>
    <row r="730" spans="2:8" x14ac:dyDescent="0.2">
      <c r="B730" s="4">
        <v>39052</v>
      </c>
      <c r="H730">
        <f t="shared" si="11"/>
        <v>2006</v>
      </c>
    </row>
    <row r="731" spans="2:8" x14ac:dyDescent="0.2">
      <c r="B731" s="4">
        <v>39417</v>
      </c>
      <c r="H731">
        <f t="shared" si="11"/>
        <v>2007</v>
      </c>
    </row>
    <row r="732" spans="2:8" x14ac:dyDescent="0.2">
      <c r="B732" s="4">
        <v>39783</v>
      </c>
      <c r="H732">
        <f t="shared" si="11"/>
        <v>2008</v>
      </c>
    </row>
    <row r="733" spans="2:8" x14ac:dyDescent="0.2">
      <c r="B733" s="4">
        <v>40148</v>
      </c>
      <c r="H733">
        <f t="shared" si="11"/>
        <v>2009</v>
      </c>
    </row>
    <row r="734" spans="2:8" x14ac:dyDescent="0.2">
      <c r="B734" s="4">
        <v>40513</v>
      </c>
      <c r="H734">
        <f t="shared" si="11"/>
        <v>2010</v>
      </c>
    </row>
    <row r="735" spans="2:8" x14ac:dyDescent="0.2">
      <c r="B735" s="4">
        <v>40878</v>
      </c>
      <c r="H735">
        <f t="shared" si="11"/>
        <v>2011</v>
      </c>
    </row>
    <row r="736" spans="2:8" x14ac:dyDescent="0.2">
      <c r="B736" s="4">
        <v>41244</v>
      </c>
      <c r="H736">
        <f t="shared" si="11"/>
        <v>2012</v>
      </c>
    </row>
    <row r="737" spans="2:8" x14ac:dyDescent="0.2">
      <c r="B737" s="4">
        <v>41609</v>
      </c>
      <c r="H737">
        <f t="shared" si="11"/>
        <v>2013</v>
      </c>
    </row>
    <row r="738" spans="2:8" x14ac:dyDescent="0.2">
      <c r="B738" s="4">
        <v>41974</v>
      </c>
      <c r="H738">
        <f t="shared" si="11"/>
        <v>2014</v>
      </c>
    </row>
    <row r="739" spans="2:8" x14ac:dyDescent="0.2">
      <c r="B739" s="4">
        <v>42339</v>
      </c>
      <c r="H739">
        <f t="shared" si="11"/>
        <v>2015</v>
      </c>
    </row>
    <row r="740" spans="2:8" x14ac:dyDescent="0.2">
      <c r="B740" s="4">
        <v>42705</v>
      </c>
      <c r="H740">
        <f t="shared" si="11"/>
        <v>2016</v>
      </c>
    </row>
    <row r="741" spans="2:8" x14ac:dyDescent="0.2">
      <c r="B741" s="4">
        <v>43070</v>
      </c>
      <c r="H741">
        <f t="shared" si="11"/>
        <v>2017</v>
      </c>
    </row>
    <row r="742" spans="2:8" x14ac:dyDescent="0.2">
      <c r="B742" s="4">
        <v>43435</v>
      </c>
      <c r="H742">
        <f t="shared" si="11"/>
        <v>2018</v>
      </c>
    </row>
    <row r="743" spans="2:8" x14ac:dyDescent="0.2">
      <c r="B743" s="4">
        <v>43800</v>
      </c>
      <c r="H743">
        <f t="shared" si="11"/>
        <v>2019</v>
      </c>
    </row>
    <row r="744" spans="2:8" x14ac:dyDescent="0.2">
      <c r="B744" s="4">
        <v>44166</v>
      </c>
      <c r="H744">
        <f t="shared" si="11"/>
        <v>2020</v>
      </c>
    </row>
    <row r="745" spans="2:8" x14ac:dyDescent="0.2">
      <c r="B745" s="4">
        <v>44531</v>
      </c>
      <c r="H745">
        <f t="shared" si="11"/>
        <v>2021</v>
      </c>
    </row>
    <row r="746" spans="2:8" x14ac:dyDescent="0.2">
      <c r="B746" s="4">
        <v>44896</v>
      </c>
      <c r="H746">
        <f t="shared" si="11"/>
        <v>2022</v>
      </c>
    </row>
    <row r="747" spans="2:8" x14ac:dyDescent="0.2">
      <c r="B747" s="4">
        <v>45261</v>
      </c>
      <c r="H747">
        <f t="shared" si="11"/>
        <v>2023</v>
      </c>
    </row>
    <row r="748" spans="2:8" x14ac:dyDescent="0.2">
      <c r="B748" s="4">
        <v>45627</v>
      </c>
      <c r="H748">
        <f t="shared" si="11"/>
        <v>2024</v>
      </c>
    </row>
    <row r="749" spans="2:8" x14ac:dyDescent="0.2">
      <c r="B749" s="4">
        <v>45992</v>
      </c>
      <c r="H749">
        <f t="shared" si="11"/>
        <v>2025</v>
      </c>
    </row>
    <row r="750" spans="2:8" x14ac:dyDescent="0.2">
      <c r="B750" s="4">
        <v>38322</v>
      </c>
      <c r="H750">
        <f t="shared" si="11"/>
        <v>2004</v>
      </c>
    </row>
    <row r="751" spans="2:8" x14ac:dyDescent="0.2">
      <c r="B751" s="4">
        <v>38687</v>
      </c>
      <c r="H751">
        <f t="shared" si="11"/>
        <v>2005</v>
      </c>
    </row>
    <row r="752" spans="2:8" x14ac:dyDescent="0.2">
      <c r="B752" s="4">
        <v>39052</v>
      </c>
      <c r="H752">
        <f t="shared" si="11"/>
        <v>2006</v>
      </c>
    </row>
    <row r="753" spans="2:8" x14ac:dyDescent="0.2">
      <c r="B753" s="4">
        <v>39417</v>
      </c>
      <c r="H753">
        <f t="shared" si="11"/>
        <v>2007</v>
      </c>
    </row>
    <row r="754" spans="2:8" x14ac:dyDescent="0.2">
      <c r="B754" s="4">
        <v>39783</v>
      </c>
      <c r="H754">
        <f t="shared" si="11"/>
        <v>2008</v>
      </c>
    </row>
    <row r="755" spans="2:8" x14ac:dyDescent="0.2">
      <c r="B755" s="4">
        <v>40148</v>
      </c>
      <c r="H755">
        <f t="shared" si="11"/>
        <v>2009</v>
      </c>
    </row>
    <row r="756" spans="2:8" x14ac:dyDescent="0.2">
      <c r="B756" s="4">
        <v>40513</v>
      </c>
      <c r="H756">
        <f t="shared" si="11"/>
        <v>2010</v>
      </c>
    </row>
    <row r="757" spans="2:8" x14ac:dyDescent="0.2">
      <c r="B757" s="4">
        <v>40878</v>
      </c>
      <c r="H757">
        <f t="shared" si="11"/>
        <v>2011</v>
      </c>
    </row>
    <row r="758" spans="2:8" x14ac:dyDescent="0.2">
      <c r="B758" s="4">
        <v>41244</v>
      </c>
      <c r="H758">
        <f t="shared" si="11"/>
        <v>2012</v>
      </c>
    </row>
    <row r="759" spans="2:8" x14ac:dyDescent="0.2">
      <c r="B759" s="4">
        <v>41609</v>
      </c>
      <c r="H759">
        <f t="shared" si="11"/>
        <v>2013</v>
      </c>
    </row>
    <row r="760" spans="2:8" x14ac:dyDescent="0.2">
      <c r="B760" s="4">
        <v>41974</v>
      </c>
      <c r="H760">
        <f t="shared" si="11"/>
        <v>2014</v>
      </c>
    </row>
    <row r="761" spans="2:8" x14ac:dyDescent="0.2">
      <c r="B761" s="4">
        <v>42339</v>
      </c>
      <c r="H761">
        <f t="shared" si="11"/>
        <v>2015</v>
      </c>
    </row>
    <row r="762" spans="2:8" x14ac:dyDescent="0.2">
      <c r="B762" s="4">
        <v>42705</v>
      </c>
      <c r="H762">
        <f t="shared" si="11"/>
        <v>2016</v>
      </c>
    </row>
    <row r="763" spans="2:8" x14ac:dyDescent="0.2">
      <c r="B763" s="4">
        <v>43070</v>
      </c>
      <c r="H763">
        <f t="shared" si="11"/>
        <v>2017</v>
      </c>
    </row>
    <row r="764" spans="2:8" x14ac:dyDescent="0.2">
      <c r="B764" s="4">
        <v>43435</v>
      </c>
      <c r="H764">
        <f t="shared" si="11"/>
        <v>2018</v>
      </c>
    </row>
    <row r="765" spans="2:8" x14ac:dyDescent="0.2">
      <c r="B765" s="4">
        <v>43800</v>
      </c>
      <c r="H765">
        <f t="shared" si="11"/>
        <v>2019</v>
      </c>
    </row>
    <row r="766" spans="2:8" x14ac:dyDescent="0.2">
      <c r="B766" s="4">
        <v>44166</v>
      </c>
      <c r="H766">
        <f t="shared" si="11"/>
        <v>2020</v>
      </c>
    </row>
    <row r="767" spans="2:8" x14ac:dyDescent="0.2">
      <c r="B767" s="4">
        <v>44531</v>
      </c>
      <c r="H767">
        <f t="shared" si="11"/>
        <v>2021</v>
      </c>
    </row>
    <row r="768" spans="2:8" x14ac:dyDescent="0.2">
      <c r="B768" s="4">
        <v>44896</v>
      </c>
      <c r="H768">
        <f t="shared" si="11"/>
        <v>2022</v>
      </c>
    </row>
    <row r="769" spans="2:8" x14ac:dyDescent="0.2">
      <c r="B769" s="4">
        <v>45261</v>
      </c>
      <c r="H769">
        <f t="shared" si="11"/>
        <v>2023</v>
      </c>
    </row>
    <row r="770" spans="2:8" x14ac:dyDescent="0.2">
      <c r="B770" s="4">
        <v>45627</v>
      </c>
      <c r="H770">
        <f t="shared" si="11"/>
        <v>2024</v>
      </c>
    </row>
    <row r="771" spans="2:8" x14ac:dyDescent="0.2">
      <c r="B771" s="4">
        <v>45992</v>
      </c>
      <c r="H771">
        <f t="shared" ref="H771:H834" si="12">YEAR(B771)</f>
        <v>2025</v>
      </c>
    </row>
    <row r="772" spans="2:8" x14ac:dyDescent="0.2">
      <c r="B772" s="4">
        <v>38322</v>
      </c>
      <c r="H772">
        <f t="shared" si="12"/>
        <v>2004</v>
      </c>
    </row>
    <row r="773" spans="2:8" x14ac:dyDescent="0.2">
      <c r="B773" s="4">
        <v>38687</v>
      </c>
      <c r="H773">
        <f t="shared" si="12"/>
        <v>2005</v>
      </c>
    </row>
    <row r="774" spans="2:8" x14ac:dyDescent="0.2">
      <c r="B774" s="4">
        <v>39052</v>
      </c>
      <c r="H774">
        <f t="shared" si="12"/>
        <v>2006</v>
      </c>
    </row>
    <row r="775" spans="2:8" x14ac:dyDescent="0.2">
      <c r="B775" s="4">
        <v>39417</v>
      </c>
      <c r="H775">
        <f t="shared" si="12"/>
        <v>2007</v>
      </c>
    </row>
    <row r="776" spans="2:8" x14ac:dyDescent="0.2">
      <c r="B776" s="4">
        <v>39783</v>
      </c>
      <c r="H776">
        <f t="shared" si="12"/>
        <v>2008</v>
      </c>
    </row>
    <row r="777" spans="2:8" x14ac:dyDescent="0.2">
      <c r="B777" s="4">
        <v>40148</v>
      </c>
      <c r="H777">
        <f t="shared" si="12"/>
        <v>2009</v>
      </c>
    </row>
    <row r="778" spans="2:8" x14ac:dyDescent="0.2">
      <c r="B778" s="4">
        <v>40513</v>
      </c>
      <c r="H778">
        <f t="shared" si="12"/>
        <v>2010</v>
      </c>
    </row>
    <row r="779" spans="2:8" x14ac:dyDescent="0.2">
      <c r="B779" s="4">
        <v>40878</v>
      </c>
      <c r="H779">
        <f t="shared" si="12"/>
        <v>2011</v>
      </c>
    </row>
    <row r="780" spans="2:8" x14ac:dyDescent="0.2">
      <c r="B780" s="4">
        <v>41244</v>
      </c>
      <c r="H780">
        <f t="shared" si="12"/>
        <v>2012</v>
      </c>
    </row>
    <row r="781" spans="2:8" x14ac:dyDescent="0.2">
      <c r="B781" s="4">
        <v>41609</v>
      </c>
      <c r="H781">
        <f t="shared" si="12"/>
        <v>2013</v>
      </c>
    </row>
    <row r="782" spans="2:8" x14ac:dyDescent="0.2">
      <c r="B782" s="4">
        <v>41974</v>
      </c>
      <c r="H782">
        <f t="shared" si="12"/>
        <v>2014</v>
      </c>
    </row>
    <row r="783" spans="2:8" x14ac:dyDescent="0.2">
      <c r="B783" s="4">
        <v>42339</v>
      </c>
      <c r="H783">
        <f t="shared" si="12"/>
        <v>2015</v>
      </c>
    </row>
    <row r="784" spans="2:8" x14ac:dyDescent="0.2">
      <c r="B784" s="4">
        <v>42705</v>
      </c>
      <c r="H784">
        <f t="shared" si="12"/>
        <v>2016</v>
      </c>
    </row>
    <row r="785" spans="2:8" x14ac:dyDescent="0.2">
      <c r="B785" s="4">
        <v>43070</v>
      </c>
      <c r="H785">
        <f t="shared" si="12"/>
        <v>2017</v>
      </c>
    </row>
    <row r="786" spans="2:8" x14ac:dyDescent="0.2">
      <c r="B786" s="4">
        <v>43435</v>
      </c>
      <c r="H786">
        <f t="shared" si="12"/>
        <v>2018</v>
      </c>
    </row>
    <row r="787" spans="2:8" x14ac:dyDescent="0.2">
      <c r="B787" s="4">
        <v>43800</v>
      </c>
      <c r="H787">
        <f t="shared" si="12"/>
        <v>2019</v>
      </c>
    </row>
    <row r="788" spans="2:8" x14ac:dyDescent="0.2">
      <c r="B788" s="4">
        <v>44166</v>
      </c>
      <c r="H788">
        <f t="shared" si="12"/>
        <v>2020</v>
      </c>
    </row>
    <row r="789" spans="2:8" x14ac:dyDescent="0.2">
      <c r="B789" s="4">
        <v>44531</v>
      </c>
      <c r="H789">
        <f t="shared" si="12"/>
        <v>2021</v>
      </c>
    </row>
    <row r="790" spans="2:8" x14ac:dyDescent="0.2">
      <c r="B790" s="4">
        <v>44896</v>
      </c>
      <c r="H790">
        <f t="shared" si="12"/>
        <v>2022</v>
      </c>
    </row>
    <row r="791" spans="2:8" x14ac:dyDescent="0.2">
      <c r="B791" s="4">
        <v>45261</v>
      </c>
      <c r="H791">
        <f t="shared" si="12"/>
        <v>2023</v>
      </c>
    </row>
    <row r="792" spans="2:8" x14ac:dyDescent="0.2">
      <c r="B792" s="4">
        <v>45627</v>
      </c>
      <c r="H792">
        <f t="shared" si="12"/>
        <v>2024</v>
      </c>
    </row>
    <row r="793" spans="2:8" x14ac:dyDescent="0.2">
      <c r="B793" s="4">
        <v>45992</v>
      </c>
      <c r="H793">
        <f t="shared" si="12"/>
        <v>2025</v>
      </c>
    </row>
    <row r="794" spans="2:8" x14ac:dyDescent="0.2">
      <c r="B794" s="4">
        <v>38322</v>
      </c>
      <c r="H794">
        <f t="shared" si="12"/>
        <v>2004</v>
      </c>
    </row>
    <row r="795" spans="2:8" x14ac:dyDescent="0.2">
      <c r="B795" s="4">
        <v>38687</v>
      </c>
      <c r="H795">
        <f t="shared" si="12"/>
        <v>2005</v>
      </c>
    </row>
    <row r="796" spans="2:8" x14ac:dyDescent="0.2">
      <c r="B796" s="4">
        <v>39052</v>
      </c>
      <c r="H796">
        <f t="shared" si="12"/>
        <v>2006</v>
      </c>
    </row>
    <row r="797" spans="2:8" x14ac:dyDescent="0.2">
      <c r="B797" s="4">
        <v>39417</v>
      </c>
      <c r="H797">
        <f t="shared" si="12"/>
        <v>2007</v>
      </c>
    </row>
    <row r="798" spans="2:8" x14ac:dyDescent="0.2">
      <c r="B798" s="4">
        <v>39783</v>
      </c>
      <c r="H798">
        <f t="shared" si="12"/>
        <v>2008</v>
      </c>
    </row>
    <row r="799" spans="2:8" x14ac:dyDescent="0.2">
      <c r="B799" s="4">
        <v>40148</v>
      </c>
      <c r="H799">
        <f t="shared" si="12"/>
        <v>2009</v>
      </c>
    </row>
    <row r="800" spans="2:8" x14ac:dyDescent="0.2">
      <c r="B800" s="4">
        <v>40513</v>
      </c>
      <c r="H800">
        <f t="shared" si="12"/>
        <v>2010</v>
      </c>
    </row>
    <row r="801" spans="2:8" x14ac:dyDescent="0.2">
      <c r="B801" s="4">
        <v>40878</v>
      </c>
      <c r="H801">
        <f t="shared" si="12"/>
        <v>2011</v>
      </c>
    </row>
    <row r="802" spans="2:8" x14ac:dyDescent="0.2">
      <c r="B802" s="4">
        <v>41244</v>
      </c>
      <c r="H802">
        <f t="shared" si="12"/>
        <v>2012</v>
      </c>
    </row>
    <row r="803" spans="2:8" x14ac:dyDescent="0.2">
      <c r="B803" s="4">
        <v>41609</v>
      </c>
      <c r="H803">
        <f t="shared" si="12"/>
        <v>2013</v>
      </c>
    </row>
    <row r="804" spans="2:8" x14ac:dyDescent="0.2">
      <c r="B804" s="4">
        <v>41974</v>
      </c>
      <c r="H804">
        <f t="shared" si="12"/>
        <v>2014</v>
      </c>
    </row>
    <row r="805" spans="2:8" x14ac:dyDescent="0.2">
      <c r="B805" s="4">
        <v>42339</v>
      </c>
      <c r="H805">
        <f t="shared" si="12"/>
        <v>2015</v>
      </c>
    </row>
    <row r="806" spans="2:8" x14ac:dyDescent="0.2">
      <c r="B806" s="4">
        <v>42705</v>
      </c>
      <c r="H806">
        <f t="shared" si="12"/>
        <v>2016</v>
      </c>
    </row>
    <row r="807" spans="2:8" x14ac:dyDescent="0.2">
      <c r="B807" s="4">
        <v>43070</v>
      </c>
      <c r="H807">
        <f t="shared" si="12"/>
        <v>2017</v>
      </c>
    </row>
    <row r="808" spans="2:8" x14ac:dyDescent="0.2">
      <c r="B808" s="4">
        <v>43435</v>
      </c>
      <c r="H808">
        <f t="shared" si="12"/>
        <v>2018</v>
      </c>
    </row>
    <row r="809" spans="2:8" x14ac:dyDescent="0.2">
      <c r="B809" s="4">
        <v>43800</v>
      </c>
      <c r="H809">
        <f t="shared" si="12"/>
        <v>2019</v>
      </c>
    </row>
    <row r="810" spans="2:8" x14ac:dyDescent="0.2">
      <c r="B810" s="4">
        <v>44166</v>
      </c>
      <c r="H810">
        <f t="shared" si="12"/>
        <v>2020</v>
      </c>
    </row>
    <row r="811" spans="2:8" x14ac:dyDescent="0.2">
      <c r="B811" s="4">
        <v>44531</v>
      </c>
      <c r="H811">
        <f t="shared" si="12"/>
        <v>2021</v>
      </c>
    </row>
    <row r="812" spans="2:8" x14ac:dyDescent="0.2">
      <c r="B812" s="4">
        <v>44896</v>
      </c>
      <c r="H812">
        <f t="shared" si="12"/>
        <v>2022</v>
      </c>
    </row>
    <row r="813" spans="2:8" x14ac:dyDescent="0.2">
      <c r="B813" s="4">
        <v>45261</v>
      </c>
      <c r="H813">
        <f t="shared" si="12"/>
        <v>2023</v>
      </c>
    </row>
    <row r="814" spans="2:8" x14ac:dyDescent="0.2">
      <c r="B814" s="4">
        <v>45627</v>
      </c>
      <c r="H814">
        <f t="shared" si="12"/>
        <v>2024</v>
      </c>
    </row>
    <row r="815" spans="2:8" x14ac:dyDescent="0.2">
      <c r="B815" s="4">
        <v>45992</v>
      </c>
      <c r="H815">
        <f t="shared" si="12"/>
        <v>2025</v>
      </c>
    </row>
    <row r="816" spans="2:8" x14ac:dyDescent="0.2">
      <c r="B816" s="4">
        <v>38322</v>
      </c>
      <c r="H816">
        <f t="shared" si="12"/>
        <v>2004</v>
      </c>
    </row>
    <row r="817" spans="2:8" x14ac:dyDescent="0.2">
      <c r="B817" s="4">
        <v>38687</v>
      </c>
      <c r="H817">
        <f t="shared" si="12"/>
        <v>2005</v>
      </c>
    </row>
    <row r="818" spans="2:8" x14ac:dyDescent="0.2">
      <c r="B818" s="4">
        <v>39052</v>
      </c>
      <c r="H818">
        <f t="shared" si="12"/>
        <v>2006</v>
      </c>
    </row>
    <row r="819" spans="2:8" x14ac:dyDescent="0.2">
      <c r="B819" s="4">
        <v>39417</v>
      </c>
      <c r="H819">
        <f t="shared" si="12"/>
        <v>2007</v>
      </c>
    </row>
    <row r="820" spans="2:8" x14ac:dyDescent="0.2">
      <c r="B820" s="4">
        <v>39783</v>
      </c>
      <c r="H820">
        <f t="shared" si="12"/>
        <v>2008</v>
      </c>
    </row>
    <row r="821" spans="2:8" x14ac:dyDescent="0.2">
      <c r="B821" s="4">
        <v>40148</v>
      </c>
      <c r="H821">
        <f t="shared" si="12"/>
        <v>2009</v>
      </c>
    </row>
    <row r="822" spans="2:8" x14ac:dyDescent="0.2">
      <c r="B822" s="4">
        <v>40513</v>
      </c>
      <c r="H822">
        <f t="shared" si="12"/>
        <v>2010</v>
      </c>
    </row>
    <row r="823" spans="2:8" x14ac:dyDescent="0.2">
      <c r="B823" s="4">
        <v>40878</v>
      </c>
      <c r="H823">
        <f t="shared" si="12"/>
        <v>2011</v>
      </c>
    </row>
    <row r="824" spans="2:8" x14ac:dyDescent="0.2">
      <c r="B824" s="4">
        <v>41244</v>
      </c>
      <c r="H824">
        <f t="shared" si="12"/>
        <v>2012</v>
      </c>
    </row>
    <row r="825" spans="2:8" x14ac:dyDescent="0.2">
      <c r="B825" s="4">
        <v>41609</v>
      </c>
      <c r="H825">
        <f t="shared" si="12"/>
        <v>2013</v>
      </c>
    </row>
    <row r="826" spans="2:8" x14ac:dyDescent="0.2">
      <c r="B826" s="4">
        <v>41974</v>
      </c>
      <c r="H826">
        <f t="shared" si="12"/>
        <v>2014</v>
      </c>
    </row>
    <row r="827" spans="2:8" x14ac:dyDescent="0.2">
      <c r="B827" s="4">
        <v>42339</v>
      </c>
      <c r="H827">
        <f t="shared" si="12"/>
        <v>2015</v>
      </c>
    </row>
    <row r="828" spans="2:8" x14ac:dyDescent="0.2">
      <c r="B828" s="4">
        <v>42705</v>
      </c>
      <c r="H828">
        <f t="shared" si="12"/>
        <v>2016</v>
      </c>
    </row>
    <row r="829" spans="2:8" x14ac:dyDescent="0.2">
      <c r="B829" s="4">
        <v>43070</v>
      </c>
      <c r="H829">
        <f t="shared" si="12"/>
        <v>2017</v>
      </c>
    </row>
    <row r="830" spans="2:8" x14ac:dyDescent="0.2">
      <c r="B830" s="4">
        <v>43435</v>
      </c>
      <c r="H830">
        <f t="shared" si="12"/>
        <v>2018</v>
      </c>
    </row>
    <row r="831" spans="2:8" x14ac:dyDescent="0.2">
      <c r="B831" s="4">
        <v>43800</v>
      </c>
      <c r="H831">
        <f t="shared" si="12"/>
        <v>2019</v>
      </c>
    </row>
    <row r="832" spans="2:8" x14ac:dyDescent="0.2">
      <c r="B832" s="4">
        <v>44166</v>
      </c>
      <c r="H832">
        <f t="shared" si="12"/>
        <v>2020</v>
      </c>
    </row>
    <row r="833" spans="2:8" x14ac:dyDescent="0.2">
      <c r="B833" s="4">
        <v>44531</v>
      </c>
      <c r="H833">
        <f t="shared" si="12"/>
        <v>2021</v>
      </c>
    </row>
    <row r="834" spans="2:8" x14ac:dyDescent="0.2">
      <c r="B834" s="4">
        <v>44896</v>
      </c>
      <c r="H834">
        <f t="shared" si="12"/>
        <v>2022</v>
      </c>
    </row>
    <row r="835" spans="2:8" x14ac:dyDescent="0.2">
      <c r="B835" s="4">
        <v>45261</v>
      </c>
      <c r="H835">
        <f t="shared" ref="H835:H898" si="13">YEAR(B835)</f>
        <v>2023</v>
      </c>
    </row>
    <row r="836" spans="2:8" x14ac:dyDescent="0.2">
      <c r="B836" s="4">
        <v>45627</v>
      </c>
      <c r="H836">
        <f t="shared" si="13"/>
        <v>2024</v>
      </c>
    </row>
    <row r="837" spans="2:8" x14ac:dyDescent="0.2">
      <c r="B837" s="4">
        <v>45992</v>
      </c>
      <c r="H837">
        <f t="shared" si="13"/>
        <v>2025</v>
      </c>
    </row>
    <row r="838" spans="2:8" x14ac:dyDescent="0.2">
      <c r="B838" s="4">
        <v>38322</v>
      </c>
      <c r="H838">
        <f t="shared" si="13"/>
        <v>2004</v>
      </c>
    </row>
    <row r="839" spans="2:8" x14ac:dyDescent="0.2">
      <c r="B839" s="4">
        <v>38687</v>
      </c>
      <c r="H839">
        <f t="shared" si="13"/>
        <v>2005</v>
      </c>
    </row>
    <row r="840" spans="2:8" x14ac:dyDescent="0.2">
      <c r="B840" s="4">
        <v>39052</v>
      </c>
      <c r="H840">
        <f t="shared" si="13"/>
        <v>2006</v>
      </c>
    </row>
    <row r="841" spans="2:8" x14ac:dyDescent="0.2">
      <c r="B841" s="4">
        <v>39417</v>
      </c>
      <c r="H841">
        <f t="shared" si="13"/>
        <v>2007</v>
      </c>
    </row>
    <row r="842" spans="2:8" x14ac:dyDescent="0.2">
      <c r="B842" s="4">
        <v>39783</v>
      </c>
      <c r="H842">
        <f t="shared" si="13"/>
        <v>2008</v>
      </c>
    </row>
    <row r="843" spans="2:8" x14ac:dyDescent="0.2">
      <c r="B843" s="4">
        <v>40148</v>
      </c>
      <c r="H843">
        <f t="shared" si="13"/>
        <v>2009</v>
      </c>
    </row>
    <row r="844" spans="2:8" x14ac:dyDescent="0.2">
      <c r="B844" s="4">
        <v>40513</v>
      </c>
      <c r="H844">
        <f t="shared" si="13"/>
        <v>2010</v>
      </c>
    </row>
    <row r="845" spans="2:8" x14ac:dyDescent="0.2">
      <c r="B845" s="4">
        <v>40878</v>
      </c>
      <c r="H845">
        <f t="shared" si="13"/>
        <v>2011</v>
      </c>
    </row>
    <row r="846" spans="2:8" x14ac:dyDescent="0.2">
      <c r="B846" s="4">
        <v>41244</v>
      </c>
      <c r="H846">
        <f t="shared" si="13"/>
        <v>2012</v>
      </c>
    </row>
    <row r="847" spans="2:8" x14ac:dyDescent="0.2">
      <c r="B847" s="4">
        <v>41609</v>
      </c>
      <c r="H847">
        <f t="shared" si="13"/>
        <v>2013</v>
      </c>
    </row>
    <row r="848" spans="2:8" x14ac:dyDescent="0.2">
      <c r="B848" s="4">
        <v>41974</v>
      </c>
      <c r="H848">
        <f t="shared" si="13"/>
        <v>2014</v>
      </c>
    </row>
    <row r="849" spans="2:8" x14ac:dyDescent="0.2">
      <c r="B849" s="4">
        <v>42339</v>
      </c>
      <c r="H849">
        <f t="shared" si="13"/>
        <v>2015</v>
      </c>
    </row>
    <row r="850" spans="2:8" x14ac:dyDescent="0.2">
      <c r="B850" s="4">
        <v>42705</v>
      </c>
      <c r="H850">
        <f t="shared" si="13"/>
        <v>2016</v>
      </c>
    </row>
    <row r="851" spans="2:8" x14ac:dyDescent="0.2">
      <c r="B851" s="4">
        <v>43070</v>
      </c>
      <c r="H851">
        <f t="shared" si="13"/>
        <v>2017</v>
      </c>
    </row>
    <row r="852" spans="2:8" x14ac:dyDescent="0.2">
      <c r="B852" s="4">
        <v>43435</v>
      </c>
      <c r="H852">
        <f t="shared" si="13"/>
        <v>2018</v>
      </c>
    </row>
    <row r="853" spans="2:8" x14ac:dyDescent="0.2">
      <c r="B853" s="4">
        <v>43800</v>
      </c>
      <c r="H853">
        <f t="shared" si="13"/>
        <v>2019</v>
      </c>
    </row>
    <row r="854" spans="2:8" x14ac:dyDescent="0.2">
      <c r="B854" s="4">
        <v>44166</v>
      </c>
      <c r="H854">
        <f t="shared" si="13"/>
        <v>2020</v>
      </c>
    </row>
    <row r="855" spans="2:8" x14ac:dyDescent="0.2">
      <c r="B855" s="4">
        <v>44531</v>
      </c>
      <c r="H855">
        <f t="shared" si="13"/>
        <v>2021</v>
      </c>
    </row>
    <row r="856" spans="2:8" x14ac:dyDescent="0.2">
      <c r="B856" s="4">
        <v>44896</v>
      </c>
      <c r="H856">
        <f t="shared" si="13"/>
        <v>2022</v>
      </c>
    </row>
    <row r="857" spans="2:8" x14ac:dyDescent="0.2">
      <c r="B857" s="4">
        <v>45261</v>
      </c>
      <c r="H857">
        <f t="shared" si="13"/>
        <v>2023</v>
      </c>
    </row>
    <row r="858" spans="2:8" x14ac:dyDescent="0.2">
      <c r="B858" s="4">
        <v>45627</v>
      </c>
      <c r="H858">
        <f t="shared" si="13"/>
        <v>2024</v>
      </c>
    </row>
    <row r="859" spans="2:8" x14ac:dyDescent="0.2">
      <c r="B859" s="4">
        <v>45992</v>
      </c>
      <c r="H859">
        <f t="shared" si="13"/>
        <v>2025</v>
      </c>
    </row>
    <row r="860" spans="2:8" x14ac:dyDescent="0.2">
      <c r="B860" s="4">
        <v>38322</v>
      </c>
      <c r="H860">
        <f t="shared" si="13"/>
        <v>2004</v>
      </c>
    </row>
    <row r="861" spans="2:8" x14ac:dyDescent="0.2">
      <c r="B861" s="4">
        <v>38687</v>
      </c>
      <c r="H861">
        <f t="shared" si="13"/>
        <v>2005</v>
      </c>
    </row>
    <row r="862" spans="2:8" x14ac:dyDescent="0.2">
      <c r="B862" s="4">
        <v>39052</v>
      </c>
      <c r="H862">
        <f t="shared" si="13"/>
        <v>2006</v>
      </c>
    </row>
    <row r="863" spans="2:8" x14ac:dyDescent="0.2">
      <c r="B863" s="4">
        <v>39417</v>
      </c>
      <c r="H863">
        <f t="shared" si="13"/>
        <v>2007</v>
      </c>
    </row>
    <row r="864" spans="2:8" x14ac:dyDescent="0.2">
      <c r="B864" s="4">
        <v>39783</v>
      </c>
      <c r="H864">
        <f t="shared" si="13"/>
        <v>2008</v>
      </c>
    </row>
    <row r="865" spans="2:8" x14ac:dyDescent="0.2">
      <c r="B865" s="4">
        <v>40148</v>
      </c>
      <c r="H865">
        <f t="shared" si="13"/>
        <v>2009</v>
      </c>
    </row>
    <row r="866" spans="2:8" x14ac:dyDescent="0.2">
      <c r="B866" s="4">
        <v>40513</v>
      </c>
      <c r="H866">
        <f t="shared" si="13"/>
        <v>2010</v>
      </c>
    </row>
    <row r="867" spans="2:8" x14ac:dyDescent="0.2">
      <c r="B867" s="4">
        <v>40878</v>
      </c>
      <c r="H867">
        <f t="shared" si="13"/>
        <v>2011</v>
      </c>
    </row>
    <row r="868" spans="2:8" x14ac:dyDescent="0.2">
      <c r="B868" s="4">
        <v>41244</v>
      </c>
      <c r="H868">
        <f t="shared" si="13"/>
        <v>2012</v>
      </c>
    </row>
    <row r="869" spans="2:8" x14ac:dyDescent="0.2">
      <c r="B869" s="4">
        <v>41609</v>
      </c>
      <c r="H869">
        <f t="shared" si="13"/>
        <v>2013</v>
      </c>
    </row>
    <row r="870" spans="2:8" x14ac:dyDescent="0.2">
      <c r="B870" s="4">
        <v>41974</v>
      </c>
      <c r="H870">
        <f t="shared" si="13"/>
        <v>2014</v>
      </c>
    </row>
    <row r="871" spans="2:8" x14ac:dyDescent="0.2">
      <c r="B871" s="4">
        <v>42339</v>
      </c>
      <c r="H871">
        <f t="shared" si="13"/>
        <v>2015</v>
      </c>
    </row>
    <row r="872" spans="2:8" x14ac:dyDescent="0.2">
      <c r="B872" s="4">
        <v>42705</v>
      </c>
      <c r="H872">
        <f t="shared" si="13"/>
        <v>2016</v>
      </c>
    </row>
    <row r="873" spans="2:8" x14ac:dyDescent="0.2">
      <c r="B873" s="4">
        <v>43070</v>
      </c>
      <c r="H873">
        <f t="shared" si="13"/>
        <v>2017</v>
      </c>
    </row>
    <row r="874" spans="2:8" x14ac:dyDescent="0.2">
      <c r="B874" s="4">
        <v>43435</v>
      </c>
      <c r="H874">
        <f t="shared" si="13"/>
        <v>2018</v>
      </c>
    </row>
    <row r="875" spans="2:8" x14ac:dyDescent="0.2">
      <c r="B875" s="4">
        <v>43800</v>
      </c>
      <c r="H875">
        <f t="shared" si="13"/>
        <v>2019</v>
      </c>
    </row>
    <row r="876" spans="2:8" x14ac:dyDescent="0.2">
      <c r="B876" s="4">
        <v>44166</v>
      </c>
      <c r="H876">
        <f t="shared" si="13"/>
        <v>2020</v>
      </c>
    </row>
    <row r="877" spans="2:8" x14ac:dyDescent="0.2">
      <c r="B877" s="4">
        <v>44531</v>
      </c>
      <c r="H877">
        <f t="shared" si="13"/>
        <v>2021</v>
      </c>
    </row>
    <row r="878" spans="2:8" x14ac:dyDescent="0.2">
      <c r="B878" s="4">
        <v>44896</v>
      </c>
      <c r="H878">
        <f t="shared" si="13"/>
        <v>2022</v>
      </c>
    </row>
    <row r="879" spans="2:8" x14ac:dyDescent="0.2">
      <c r="B879" s="4">
        <v>45261</v>
      </c>
      <c r="H879">
        <f t="shared" si="13"/>
        <v>2023</v>
      </c>
    </row>
    <row r="880" spans="2:8" x14ac:dyDescent="0.2">
      <c r="B880" s="4">
        <v>45627</v>
      </c>
      <c r="H880">
        <f t="shared" si="13"/>
        <v>2024</v>
      </c>
    </row>
    <row r="881" spans="2:8" x14ac:dyDescent="0.2">
      <c r="B881" s="4">
        <v>45992</v>
      </c>
      <c r="H881">
        <f t="shared" si="13"/>
        <v>2025</v>
      </c>
    </row>
    <row r="882" spans="2:8" x14ac:dyDescent="0.2">
      <c r="B882" s="4">
        <v>38322</v>
      </c>
      <c r="H882">
        <f t="shared" si="13"/>
        <v>2004</v>
      </c>
    </row>
    <row r="883" spans="2:8" x14ac:dyDescent="0.2">
      <c r="B883" s="4">
        <v>38687</v>
      </c>
      <c r="H883">
        <f t="shared" si="13"/>
        <v>2005</v>
      </c>
    </row>
    <row r="884" spans="2:8" x14ac:dyDescent="0.2">
      <c r="B884" s="4">
        <v>39052</v>
      </c>
      <c r="H884">
        <f t="shared" si="13"/>
        <v>2006</v>
      </c>
    </row>
    <row r="885" spans="2:8" x14ac:dyDescent="0.2">
      <c r="B885" s="4">
        <v>39417</v>
      </c>
      <c r="H885">
        <f t="shared" si="13"/>
        <v>2007</v>
      </c>
    </row>
    <row r="886" spans="2:8" x14ac:dyDescent="0.2">
      <c r="B886" s="4">
        <v>39783</v>
      </c>
      <c r="H886">
        <f t="shared" si="13"/>
        <v>2008</v>
      </c>
    </row>
    <row r="887" spans="2:8" x14ac:dyDescent="0.2">
      <c r="B887" s="4">
        <v>40148</v>
      </c>
      <c r="H887">
        <f t="shared" si="13"/>
        <v>2009</v>
      </c>
    </row>
    <row r="888" spans="2:8" x14ac:dyDescent="0.2">
      <c r="B888" s="4">
        <v>40513</v>
      </c>
      <c r="H888">
        <f t="shared" si="13"/>
        <v>2010</v>
      </c>
    </row>
    <row r="889" spans="2:8" x14ac:dyDescent="0.2">
      <c r="B889" s="4">
        <v>40878</v>
      </c>
      <c r="H889">
        <f t="shared" si="13"/>
        <v>2011</v>
      </c>
    </row>
    <row r="890" spans="2:8" x14ac:dyDescent="0.2">
      <c r="B890" s="4">
        <v>41244</v>
      </c>
      <c r="H890">
        <f t="shared" si="13"/>
        <v>2012</v>
      </c>
    </row>
    <row r="891" spans="2:8" x14ac:dyDescent="0.2">
      <c r="B891" s="4">
        <v>41609</v>
      </c>
      <c r="H891">
        <f t="shared" si="13"/>
        <v>2013</v>
      </c>
    </row>
    <row r="892" spans="2:8" x14ac:dyDescent="0.2">
      <c r="B892" s="4">
        <v>41974</v>
      </c>
      <c r="H892">
        <f t="shared" si="13"/>
        <v>2014</v>
      </c>
    </row>
    <row r="893" spans="2:8" x14ac:dyDescent="0.2">
      <c r="B893" s="4">
        <v>42339</v>
      </c>
      <c r="H893">
        <f t="shared" si="13"/>
        <v>2015</v>
      </c>
    </row>
    <row r="894" spans="2:8" x14ac:dyDescent="0.2">
      <c r="B894" s="4">
        <v>42705</v>
      </c>
      <c r="H894">
        <f t="shared" si="13"/>
        <v>2016</v>
      </c>
    </row>
    <row r="895" spans="2:8" x14ac:dyDescent="0.2">
      <c r="B895" s="4">
        <v>43070</v>
      </c>
      <c r="H895">
        <f t="shared" si="13"/>
        <v>2017</v>
      </c>
    </row>
    <row r="896" spans="2:8" x14ac:dyDescent="0.2">
      <c r="B896" s="4">
        <v>43435</v>
      </c>
      <c r="H896">
        <f t="shared" si="13"/>
        <v>2018</v>
      </c>
    </row>
    <row r="897" spans="2:8" x14ac:dyDescent="0.2">
      <c r="B897" s="4">
        <v>43800</v>
      </c>
      <c r="H897">
        <f t="shared" si="13"/>
        <v>2019</v>
      </c>
    </row>
    <row r="898" spans="2:8" x14ac:dyDescent="0.2">
      <c r="B898" s="4">
        <v>44166</v>
      </c>
      <c r="H898">
        <f t="shared" si="13"/>
        <v>2020</v>
      </c>
    </row>
    <row r="899" spans="2:8" x14ac:dyDescent="0.2">
      <c r="B899" s="4">
        <v>44531</v>
      </c>
      <c r="H899">
        <f t="shared" ref="H899:H962" si="14">YEAR(B899)</f>
        <v>2021</v>
      </c>
    </row>
    <row r="900" spans="2:8" x14ac:dyDescent="0.2">
      <c r="B900" s="4">
        <v>44896</v>
      </c>
      <c r="H900">
        <f t="shared" si="14"/>
        <v>2022</v>
      </c>
    </row>
    <row r="901" spans="2:8" x14ac:dyDescent="0.2">
      <c r="B901" s="4">
        <v>45261</v>
      </c>
      <c r="H901">
        <f t="shared" si="14"/>
        <v>2023</v>
      </c>
    </row>
    <row r="902" spans="2:8" x14ac:dyDescent="0.2">
      <c r="B902" s="4">
        <v>45627</v>
      </c>
      <c r="H902">
        <f t="shared" si="14"/>
        <v>2024</v>
      </c>
    </row>
    <row r="903" spans="2:8" x14ac:dyDescent="0.2">
      <c r="B903" s="4">
        <v>45992</v>
      </c>
      <c r="H903">
        <f t="shared" si="14"/>
        <v>2025</v>
      </c>
    </row>
    <row r="904" spans="2:8" x14ac:dyDescent="0.2">
      <c r="B904" s="4">
        <v>38322</v>
      </c>
      <c r="H904">
        <f t="shared" si="14"/>
        <v>2004</v>
      </c>
    </row>
    <row r="905" spans="2:8" x14ac:dyDescent="0.2">
      <c r="B905" s="4">
        <v>38687</v>
      </c>
      <c r="H905">
        <f t="shared" si="14"/>
        <v>2005</v>
      </c>
    </row>
    <row r="906" spans="2:8" x14ac:dyDescent="0.2">
      <c r="B906" s="4">
        <v>39052</v>
      </c>
      <c r="H906">
        <f t="shared" si="14"/>
        <v>2006</v>
      </c>
    </row>
    <row r="907" spans="2:8" x14ac:dyDescent="0.2">
      <c r="B907" s="4">
        <v>39417</v>
      </c>
      <c r="H907">
        <f t="shared" si="14"/>
        <v>2007</v>
      </c>
    </row>
    <row r="908" spans="2:8" x14ac:dyDescent="0.2">
      <c r="B908" s="4">
        <v>39783</v>
      </c>
      <c r="H908">
        <f t="shared" si="14"/>
        <v>2008</v>
      </c>
    </row>
    <row r="909" spans="2:8" x14ac:dyDescent="0.2">
      <c r="B909" s="4">
        <v>40148</v>
      </c>
      <c r="H909">
        <f t="shared" si="14"/>
        <v>2009</v>
      </c>
    </row>
    <row r="910" spans="2:8" x14ac:dyDescent="0.2">
      <c r="B910" s="4">
        <v>40513</v>
      </c>
      <c r="H910">
        <f t="shared" si="14"/>
        <v>2010</v>
      </c>
    </row>
    <row r="911" spans="2:8" x14ac:dyDescent="0.2">
      <c r="B911" s="4">
        <v>40878</v>
      </c>
      <c r="H911">
        <f t="shared" si="14"/>
        <v>2011</v>
      </c>
    </row>
    <row r="912" spans="2:8" x14ac:dyDescent="0.2">
      <c r="B912" s="4">
        <v>41244</v>
      </c>
      <c r="H912">
        <f t="shared" si="14"/>
        <v>2012</v>
      </c>
    </row>
    <row r="913" spans="2:8" x14ac:dyDescent="0.2">
      <c r="B913" s="4">
        <v>41609</v>
      </c>
      <c r="H913">
        <f t="shared" si="14"/>
        <v>2013</v>
      </c>
    </row>
    <row r="914" spans="2:8" x14ac:dyDescent="0.2">
      <c r="B914" s="4">
        <v>41974</v>
      </c>
      <c r="H914">
        <f t="shared" si="14"/>
        <v>2014</v>
      </c>
    </row>
    <row r="915" spans="2:8" x14ac:dyDescent="0.2">
      <c r="B915" s="4">
        <v>42339</v>
      </c>
      <c r="H915">
        <f t="shared" si="14"/>
        <v>2015</v>
      </c>
    </row>
    <row r="916" spans="2:8" x14ac:dyDescent="0.2">
      <c r="B916" s="4">
        <v>42705</v>
      </c>
      <c r="H916">
        <f t="shared" si="14"/>
        <v>2016</v>
      </c>
    </row>
    <row r="917" spans="2:8" x14ac:dyDescent="0.2">
      <c r="B917" s="4">
        <v>43070</v>
      </c>
      <c r="H917">
        <f t="shared" si="14"/>
        <v>2017</v>
      </c>
    </row>
    <row r="918" spans="2:8" x14ac:dyDescent="0.2">
      <c r="B918" s="4">
        <v>43435</v>
      </c>
      <c r="H918">
        <f t="shared" si="14"/>
        <v>2018</v>
      </c>
    </row>
    <row r="919" spans="2:8" x14ac:dyDescent="0.2">
      <c r="B919" s="4">
        <v>43800</v>
      </c>
      <c r="H919">
        <f t="shared" si="14"/>
        <v>2019</v>
      </c>
    </row>
    <row r="920" spans="2:8" x14ac:dyDescent="0.2">
      <c r="B920" s="4">
        <v>44166</v>
      </c>
      <c r="H920">
        <f t="shared" si="14"/>
        <v>2020</v>
      </c>
    </row>
    <row r="921" spans="2:8" x14ac:dyDescent="0.2">
      <c r="B921" s="4">
        <v>44531</v>
      </c>
      <c r="H921">
        <f t="shared" si="14"/>
        <v>2021</v>
      </c>
    </row>
    <row r="922" spans="2:8" x14ac:dyDescent="0.2">
      <c r="B922" s="4">
        <v>44896</v>
      </c>
      <c r="H922">
        <f t="shared" si="14"/>
        <v>2022</v>
      </c>
    </row>
    <row r="923" spans="2:8" x14ac:dyDescent="0.2">
      <c r="B923" s="4">
        <v>45261</v>
      </c>
      <c r="H923">
        <f t="shared" si="14"/>
        <v>2023</v>
      </c>
    </row>
    <row r="924" spans="2:8" x14ac:dyDescent="0.2">
      <c r="B924" s="4">
        <v>45627</v>
      </c>
      <c r="H924">
        <f t="shared" si="14"/>
        <v>2024</v>
      </c>
    </row>
    <row r="925" spans="2:8" x14ac:dyDescent="0.2">
      <c r="B925" s="4">
        <v>45992</v>
      </c>
      <c r="H925">
        <f t="shared" si="14"/>
        <v>2025</v>
      </c>
    </row>
    <row r="926" spans="2:8" x14ac:dyDescent="0.2">
      <c r="B926" s="4">
        <v>38322</v>
      </c>
      <c r="H926">
        <f t="shared" si="14"/>
        <v>2004</v>
      </c>
    </row>
    <row r="927" spans="2:8" x14ac:dyDescent="0.2">
      <c r="B927" s="4">
        <v>38687</v>
      </c>
      <c r="H927">
        <f t="shared" si="14"/>
        <v>2005</v>
      </c>
    </row>
    <row r="928" spans="2:8" x14ac:dyDescent="0.2">
      <c r="B928" s="4">
        <v>39052</v>
      </c>
      <c r="H928">
        <f t="shared" si="14"/>
        <v>2006</v>
      </c>
    </row>
    <row r="929" spans="2:8" x14ac:dyDescent="0.2">
      <c r="B929" s="4">
        <v>39417</v>
      </c>
      <c r="H929">
        <f t="shared" si="14"/>
        <v>2007</v>
      </c>
    </row>
    <row r="930" spans="2:8" x14ac:dyDescent="0.2">
      <c r="B930" s="4">
        <v>39783</v>
      </c>
      <c r="H930">
        <f t="shared" si="14"/>
        <v>2008</v>
      </c>
    </row>
    <row r="931" spans="2:8" x14ac:dyDescent="0.2">
      <c r="B931" s="4">
        <v>40148</v>
      </c>
      <c r="H931">
        <f t="shared" si="14"/>
        <v>2009</v>
      </c>
    </row>
    <row r="932" spans="2:8" x14ac:dyDescent="0.2">
      <c r="B932" s="4">
        <v>40513</v>
      </c>
      <c r="H932">
        <f t="shared" si="14"/>
        <v>2010</v>
      </c>
    </row>
    <row r="933" spans="2:8" x14ac:dyDescent="0.2">
      <c r="B933" s="4">
        <v>40878</v>
      </c>
      <c r="H933">
        <f t="shared" si="14"/>
        <v>2011</v>
      </c>
    </row>
    <row r="934" spans="2:8" x14ac:dyDescent="0.2">
      <c r="B934" s="4">
        <v>41244</v>
      </c>
      <c r="H934">
        <f t="shared" si="14"/>
        <v>2012</v>
      </c>
    </row>
    <row r="935" spans="2:8" x14ac:dyDescent="0.2">
      <c r="B935" s="4">
        <v>41609</v>
      </c>
      <c r="H935">
        <f t="shared" si="14"/>
        <v>2013</v>
      </c>
    </row>
    <row r="936" spans="2:8" x14ac:dyDescent="0.2">
      <c r="B936" s="4">
        <v>41974</v>
      </c>
      <c r="H936">
        <f t="shared" si="14"/>
        <v>2014</v>
      </c>
    </row>
    <row r="937" spans="2:8" x14ac:dyDescent="0.2">
      <c r="B937" s="4">
        <v>42339</v>
      </c>
      <c r="H937">
        <f t="shared" si="14"/>
        <v>2015</v>
      </c>
    </row>
    <row r="938" spans="2:8" x14ac:dyDescent="0.2">
      <c r="B938" s="4">
        <v>42705</v>
      </c>
      <c r="H938">
        <f t="shared" si="14"/>
        <v>2016</v>
      </c>
    </row>
    <row r="939" spans="2:8" x14ac:dyDescent="0.2">
      <c r="B939" s="4">
        <v>43070</v>
      </c>
      <c r="H939">
        <f t="shared" si="14"/>
        <v>2017</v>
      </c>
    </row>
    <row r="940" spans="2:8" x14ac:dyDescent="0.2">
      <c r="B940" s="4">
        <v>43435</v>
      </c>
      <c r="H940">
        <f t="shared" si="14"/>
        <v>2018</v>
      </c>
    </row>
    <row r="941" spans="2:8" x14ac:dyDescent="0.2">
      <c r="B941" s="4">
        <v>43800</v>
      </c>
      <c r="H941">
        <f t="shared" si="14"/>
        <v>2019</v>
      </c>
    </row>
    <row r="942" spans="2:8" x14ac:dyDescent="0.2">
      <c r="B942" s="4">
        <v>44166</v>
      </c>
      <c r="H942">
        <f t="shared" si="14"/>
        <v>2020</v>
      </c>
    </row>
    <row r="943" spans="2:8" x14ac:dyDescent="0.2">
      <c r="B943" s="4">
        <v>44531</v>
      </c>
      <c r="H943">
        <f t="shared" si="14"/>
        <v>2021</v>
      </c>
    </row>
    <row r="944" spans="2:8" x14ac:dyDescent="0.2">
      <c r="B944" s="4">
        <v>44896</v>
      </c>
      <c r="H944">
        <f t="shared" si="14"/>
        <v>2022</v>
      </c>
    </row>
    <row r="945" spans="2:8" x14ac:dyDescent="0.2">
      <c r="B945" s="4">
        <v>45261</v>
      </c>
      <c r="H945">
        <f t="shared" si="14"/>
        <v>2023</v>
      </c>
    </row>
    <row r="946" spans="2:8" x14ac:dyDescent="0.2">
      <c r="B946" s="4">
        <v>45627</v>
      </c>
      <c r="H946">
        <f t="shared" si="14"/>
        <v>2024</v>
      </c>
    </row>
    <row r="947" spans="2:8" x14ac:dyDescent="0.2">
      <c r="B947" s="4">
        <v>45992</v>
      </c>
      <c r="H947">
        <f t="shared" si="14"/>
        <v>2025</v>
      </c>
    </row>
    <row r="948" spans="2:8" x14ac:dyDescent="0.2">
      <c r="B948" s="4">
        <v>38322</v>
      </c>
      <c r="H948">
        <f t="shared" si="14"/>
        <v>2004</v>
      </c>
    </row>
    <row r="949" spans="2:8" x14ac:dyDescent="0.2">
      <c r="B949" s="4">
        <v>38687</v>
      </c>
      <c r="H949">
        <f t="shared" si="14"/>
        <v>2005</v>
      </c>
    </row>
    <row r="950" spans="2:8" x14ac:dyDescent="0.2">
      <c r="B950" s="4">
        <v>39052</v>
      </c>
      <c r="H950">
        <f t="shared" si="14"/>
        <v>2006</v>
      </c>
    </row>
    <row r="951" spans="2:8" x14ac:dyDescent="0.2">
      <c r="B951" s="4">
        <v>39417</v>
      </c>
      <c r="H951">
        <f t="shared" si="14"/>
        <v>2007</v>
      </c>
    </row>
    <row r="952" spans="2:8" x14ac:dyDescent="0.2">
      <c r="B952" s="4">
        <v>39783</v>
      </c>
      <c r="H952">
        <f t="shared" si="14"/>
        <v>2008</v>
      </c>
    </row>
    <row r="953" spans="2:8" x14ac:dyDescent="0.2">
      <c r="B953" s="4">
        <v>40148</v>
      </c>
      <c r="H953">
        <f t="shared" si="14"/>
        <v>2009</v>
      </c>
    </row>
    <row r="954" spans="2:8" x14ac:dyDescent="0.2">
      <c r="B954" s="4">
        <v>40513</v>
      </c>
      <c r="H954">
        <f t="shared" si="14"/>
        <v>2010</v>
      </c>
    </row>
    <row r="955" spans="2:8" x14ac:dyDescent="0.2">
      <c r="B955" s="4">
        <v>40878</v>
      </c>
      <c r="H955">
        <f t="shared" si="14"/>
        <v>2011</v>
      </c>
    </row>
    <row r="956" spans="2:8" x14ac:dyDescent="0.2">
      <c r="B956" s="4">
        <v>41244</v>
      </c>
      <c r="H956">
        <f t="shared" si="14"/>
        <v>2012</v>
      </c>
    </row>
    <row r="957" spans="2:8" x14ac:dyDescent="0.2">
      <c r="B957" s="4">
        <v>41609</v>
      </c>
      <c r="H957">
        <f t="shared" si="14"/>
        <v>2013</v>
      </c>
    </row>
    <row r="958" spans="2:8" x14ac:dyDescent="0.2">
      <c r="B958" s="4">
        <v>41974</v>
      </c>
      <c r="H958">
        <f t="shared" si="14"/>
        <v>2014</v>
      </c>
    </row>
    <row r="959" spans="2:8" x14ac:dyDescent="0.2">
      <c r="B959" s="4">
        <v>42339</v>
      </c>
      <c r="H959">
        <f t="shared" si="14"/>
        <v>2015</v>
      </c>
    </row>
    <row r="960" spans="2:8" x14ac:dyDescent="0.2">
      <c r="B960" s="4">
        <v>42705</v>
      </c>
      <c r="H960">
        <f t="shared" si="14"/>
        <v>2016</v>
      </c>
    </row>
    <row r="961" spans="2:8" x14ac:dyDescent="0.2">
      <c r="B961" s="4">
        <v>43070</v>
      </c>
      <c r="H961">
        <f t="shared" si="14"/>
        <v>2017</v>
      </c>
    </row>
    <row r="962" spans="2:8" x14ac:dyDescent="0.2">
      <c r="B962" s="4">
        <v>43435</v>
      </c>
      <c r="H962">
        <f t="shared" si="14"/>
        <v>2018</v>
      </c>
    </row>
    <row r="963" spans="2:8" x14ac:dyDescent="0.2">
      <c r="B963" s="4">
        <v>43800</v>
      </c>
      <c r="H963">
        <f t="shared" ref="H963:H1026" si="15">YEAR(B963)</f>
        <v>2019</v>
      </c>
    </row>
    <row r="964" spans="2:8" x14ac:dyDescent="0.2">
      <c r="B964" s="4">
        <v>44166</v>
      </c>
      <c r="H964">
        <f t="shared" si="15"/>
        <v>2020</v>
      </c>
    </row>
    <row r="965" spans="2:8" x14ac:dyDescent="0.2">
      <c r="B965" s="4">
        <v>44531</v>
      </c>
      <c r="H965">
        <f t="shared" si="15"/>
        <v>2021</v>
      </c>
    </row>
    <row r="966" spans="2:8" x14ac:dyDescent="0.2">
      <c r="B966" s="4">
        <v>44896</v>
      </c>
      <c r="H966">
        <f t="shared" si="15"/>
        <v>2022</v>
      </c>
    </row>
    <row r="967" spans="2:8" x14ac:dyDescent="0.2">
      <c r="B967" s="4">
        <v>45261</v>
      </c>
      <c r="H967">
        <f t="shared" si="15"/>
        <v>2023</v>
      </c>
    </row>
    <row r="968" spans="2:8" x14ac:dyDescent="0.2">
      <c r="B968" s="4">
        <v>45627</v>
      </c>
      <c r="H968">
        <f t="shared" si="15"/>
        <v>2024</v>
      </c>
    </row>
    <row r="969" spans="2:8" x14ac:dyDescent="0.2">
      <c r="B969" s="4">
        <v>45992</v>
      </c>
      <c r="H969">
        <f t="shared" si="15"/>
        <v>2025</v>
      </c>
    </row>
    <row r="970" spans="2:8" x14ac:dyDescent="0.2">
      <c r="B970" s="4">
        <v>38322</v>
      </c>
      <c r="H970">
        <f t="shared" si="15"/>
        <v>2004</v>
      </c>
    </row>
    <row r="971" spans="2:8" x14ac:dyDescent="0.2">
      <c r="B971" s="4">
        <v>38687</v>
      </c>
      <c r="H971">
        <f t="shared" si="15"/>
        <v>2005</v>
      </c>
    </row>
    <row r="972" spans="2:8" x14ac:dyDescent="0.2">
      <c r="B972" s="4">
        <v>39052</v>
      </c>
      <c r="H972">
        <f t="shared" si="15"/>
        <v>2006</v>
      </c>
    </row>
    <row r="973" spans="2:8" x14ac:dyDescent="0.2">
      <c r="B973" s="4">
        <v>39417</v>
      </c>
      <c r="H973">
        <f t="shared" si="15"/>
        <v>2007</v>
      </c>
    </row>
    <row r="974" spans="2:8" x14ac:dyDescent="0.2">
      <c r="B974" s="4">
        <v>39783</v>
      </c>
      <c r="H974">
        <f t="shared" si="15"/>
        <v>2008</v>
      </c>
    </row>
    <row r="975" spans="2:8" x14ac:dyDescent="0.2">
      <c r="B975" s="4">
        <v>40148</v>
      </c>
      <c r="H975">
        <f t="shared" si="15"/>
        <v>2009</v>
      </c>
    </row>
    <row r="976" spans="2:8" x14ac:dyDescent="0.2">
      <c r="B976" s="4">
        <v>40513</v>
      </c>
      <c r="H976">
        <f t="shared" si="15"/>
        <v>2010</v>
      </c>
    </row>
    <row r="977" spans="2:8" x14ac:dyDescent="0.2">
      <c r="B977" s="4">
        <v>40878</v>
      </c>
      <c r="H977">
        <f t="shared" si="15"/>
        <v>2011</v>
      </c>
    </row>
    <row r="978" spans="2:8" x14ac:dyDescent="0.2">
      <c r="B978" s="4">
        <v>41244</v>
      </c>
      <c r="H978">
        <f t="shared" si="15"/>
        <v>2012</v>
      </c>
    </row>
    <row r="979" spans="2:8" x14ac:dyDescent="0.2">
      <c r="B979" s="4">
        <v>41609</v>
      </c>
      <c r="H979">
        <f t="shared" si="15"/>
        <v>2013</v>
      </c>
    </row>
    <row r="980" spans="2:8" x14ac:dyDescent="0.2">
      <c r="B980" s="4">
        <v>41974</v>
      </c>
      <c r="H980">
        <f t="shared" si="15"/>
        <v>2014</v>
      </c>
    </row>
    <row r="981" spans="2:8" x14ac:dyDescent="0.2">
      <c r="B981" s="4">
        <v>42339</v>
      </c>
      <c r="H981">
        <f t="shared" si="15"/>
        <v>2015</v>
      </c>
    </row>
    <row r="982" spans="2:8" x14ac:dyDescent="0.2">
      <c r="B982" s="4">
        <v>42705</v>
      </c>
      <c r="H982">
        <f t="shared" si="15"/>
        <v>2016</v>
      </c>
    </row>
    <row r="983" spans="2:8" x14ac:dyDescent="0.2">
      <c r="B983" s="4">
        <v>43070</v>
      </c>
      <c r="H983">
        <f t="shared" si="15"/>
        <v>2017</v>
      </c>
    </row>
    <row r="984" spans="2:8" x14ac:dyDescent="0.2">
      <c r="B984" s="4">
        <v>43435</v>
      </c>
      <c r="H984">
        <f t="shared" si="15"/>
        <v>2018</v>
      </c>
    </row>
    <row r="985" spans="2:8" x14ac:dyDescent="0.2">
      <c r="B985" s="4">
        <v>43800</v>
      </c>
      <c r="H985">
        <f t="shared" si="15"/>
        <v>2019</v>
      </c>
    </row>
    <row r="986" spans="2:8" x14ac:dyDescent="0.2">
      <c r="B986" s="4">
        <v>44166</v>
      </c>
      <c r="H986">
        <f t="shared" si="15"/>
        <v>2020</v>
      </c>
    </row>
    <row r="987" spans="2:8" x14ac:dyDescent="0.2">
      <c r="B987" s="4">
        <v>44531</v>
      </c>
      <c r="H987">
        <f t="shared" si="15"/>
        <v>2021</v>
      </c>
    </row>
    <row r="988" spans="2:8" x14ac:dyDescent="0.2">
      <c r="B988" s="4">
        <v>44896</v>
      </c>
      <c r="H988">
        <f t="shared" si="15"/>
        <v>2022</v>
      </c>
    </row>
    <row r="989" spans="2:8" x14ac:dyDescent="0.2">
      <c r="B989" s="4">
        <v>45261</v>
      </c>
      <c r="H989">
        <f t="shared" si="15"/>
        <v>2023</v>
      </c>
    </row>
    <row r="990" spans="2:8" x14ac:dyDescent="0.2">
      <c r="B990" s="4">
        <v>45627</v>
      </c>
      <c r="H990">
        <f t="shared" si="15"/>
        <v>2024</v>
      </c>
    </row>
    <row r="991" spans="2:8" x14ac:dyDescent="0.2">
      <c r="B991" s="4">
        <v>45992</v>
      </c>
      <c r="H991">
        <f t="shared" si="15"/>
        <v>2025</v>
      </c>
    </row>
    <row r="992" spans="2:8" x14ac:dyDescent="0.2">
      <c r="B992" s="4">
        <v>38322</v>
      </c>
      <c r="H992">
        <f t="shared" si="15"/>
        <v>2004</v>
      </c>
    </row>
    <row r="993" spans="2:8" x14ac:dyDescent="0.2">
      <c r="B993" s="4">
        <v>38687</v>
      </c>
      <c r="H993">
        <f t="shared" si="15"/>
        <v>2005</v>
      </c>
    </row>
    <row r="994" spans="2:8" x14ac:dyDescent="0.2">
      <c r="B994" s="4">
        <v>39052</v>
      </c>
      <c r="H994">
        <f t="shared" si="15"/>
        <v>2006</v>
      </c>
    </row>
    <row r="995" spans="2:8" x14ac:dyDescent="0.2">
      <c r="B995" s="4">
        <v>39417</v>
      </c>
      <c r="H995">
        <f t="shared" si="15"/>
        <v>2007</v>
      </c>
    </row>
    <row r="996" spans="2:8" x14ac:dyDescent="0.2">
      <c r="B996" s="4">
        <v>39783</v>
      </c>
      <c r="H996">
        <f t="shared" si="15"/>
        <v>2008</v>
      </c>
    </row>
    <row r="997" spans="2:8" x14ac:dyDescent="0.2">
      <c r="B997" s="4">
        <v>40148</v>
      </c>
      <c r="H997">
        <f t="shared" si="15"/>
        <v>2009</v>
      </c>
    </row>
    <row r="998" spans="2:8" x14ac:dyDescent="0.2">
      <c r="B998" s="4">
        <v>40513</v>
      </c>
      <c r="H998">
        <f t="shared" si="15"/>
        <v>2010</v>
      </c>
    </row>
    <row r="999" spans="2:8" x14ac:dyDescent="0.2">
      <c r="B999" s="4">
        <v>40878</v>
      </c>
      <c r="H999">
        <f t="shared" si="15"/>
        <v>2011</v>
      </c>
    </row>
    <row r="1000" spans="2:8" x14ac:dyDescent="0.2">
      <c r="B1000" s="4">
        <v>41244</v>
      </c>
      <c r="H1000">
        <f t="shared" si="15"/>
        <v>2012</v>
      </c>
    </row>
    <row r="1001" spans="2:8" x14ac:dyDescent="0.2">
      <c r="B1001" s="4">
        <v>41609</v>
      </c>
      <c r="H1001">
        <f t="shared" si="15"/>
        <v>2013</v>
      </c>
    </row>
    <row r="1002" spans="2:8" x14ac:dyDescent="0.2">
      <c r="B1002" s="4">
        <v>41974</v>
      </c>
      <c r="H1002">
        <f t="shared" si="15"/>
        <v>2014</v>
      </c>
    </row>
    <row r="1003" spans="2:8" x14ac:dyDescent="0.2">
      <c r="B1003" s="4">
        <v>42339</v>
      </c>
      <c r="H1003">
        <f t="shared" si="15"/>
        <v>2015</v>
      </c>
    </row>
    <row r="1004" spans="2:8" x14ac:dyDescent="0.2">
      <c r="B1004" s="4">
        <v>42705</v>
      </c>
      <c r="H1004">
        <f t="shared" si="15"/>
        <v>2016</v>
      </c>
    </row>
    <row r="1005" spans="2:8" x14ac:dyDescent="0.2">
      <c r="B1005" s="4">
        <v>43070</v>
      </c>
      <c r="H1005">
        <f t="shared" si="15"/>
        <v>2017</v>
      </c>
    </row>
    <row r="1006" spans="2:8" x14ac:dyDescent="0.2">
      <c r="B1006" s="4">
        <v>43435</v>
      </c>
      <c r="H1006">
        <f t="shared" si="15"/>
        <v>2018</v>
      </c>
    </row>
    <row r="1007" spans="2:8" x14ac:dyDescent="0.2">
      <c r="B1007" s="4">
        <v>43800</v>
      </c>
      <c r="H1007">
        <f t="shared" si="15"/>
        <v>2019</v>
      </c>
    </row>
    <row r="1008" spans="2:8" x14ac:dyDescent="0.2">
      <c r="B1008" s="4">
        <v>44166</v>
      </c>
      <c r="H1008">
        <f t="shared" si="15"/>
        <v>2020</v>
      </c>
    </row>
    <row r="1009" spans="2:8" x14ac:dyDescent="0.2">
      <c r="B1009" s="4">
        <v>44531</v>
      </c>
      <c r="H1009">
        <f t="shared" si="15"/>
        <v>2021</v>
      </c>
    </row>
    <row r="1010" spans="2:8" x14ac:dyDescent="0.2">
      <c r="B1010" s="4">
        <v>44896</v>
      </c>
      <c r="H1010">
        <f t="shared" si="15"/>
        <v>2022</v>
      </c>
    </row>
    <row r="1011" spans="2:8" x14ac:dyDescent="0.2">
      <c r="B1011" s="4">
        <v>45261</v>
      </c>
      <c r="H1011">
        <f t="shared" si="15"/>
        <v>2023</v>
      </c>
    </row>
    <row r="1012" spans="2:8" x14ac:dyDescent="0.2">
      <c r="B1012" s="4">
        <v>45627</v>
      </c>
      <c r="H1012">
        <f t="shared" si="15"/>
        <v>2024</v>
      </c>
    </row>
    <row r="1013" spans="2:8" x14ac:dyDescent="0.2">
      <c r="B1013" s="4">
        <v>45992</v>
      </c>
      <c r="H1013">
        <f t="shared" si="15"/>
        <v>2025</v>
      </c>
    </row>
    <row r="1014" spans="2:8" x14ac:dyDescent="0.2">
      <c r="B1014" s="4">
        <v>38322</v>
      </c>
      <c r="H1014">
        <f t="shared" si="15"/>
        <v>2004</v>
      </c>
    </row>
    <row r="1015" spans="2:8" x14ac:dyDescent="0.2">
      <c r="B1015" s="4">
        <v>38687</v>
      </c>
      <c r="H1015">
        <f t="shared" si="15"/>
        <v>2005</v>
      </c>
    </row>
    <row r="1016" spans="2:8" x14ac:dyDescent="0.2">
      <c r="B1016" s="4">
        <v>39052</v>
      </c>
      <c r="H1016">
        <f t="shared" si="15"/>
        <v>2006</v>
      </c>
    </row>
    <row r="1017" spans="2:8" x14ac:dyDescent="0.2">
      <c r="B1017" s="4">
        <v>39417</v>
      </c>
      <c r="H1017">
        <f t="shared" si="15"/>
        <v>2007</v>
      </c>
    </row>
    <row r="1018" spans="2:8" x14ac:dyDescent="0.2">
      <c r="B1018" s="4">
        <v>39783</v>
      </c>
      <c r="H1018">
        <f t="shared" si="15"/>
        <v>2008</v>
      </c>
    </row>
    <row r="1019" spans="2:8" x14ac:dyDescent="0.2">
      <c r="B1019" s="4">
        <v>40148</v>
      </c>
      <c r="H1019">
        <f t="shared" si="15"/>
        <v>2009</v>
      </c>
    </row>
    <row r="1020" spans="2:8" x14ac:dyDescent="0.2">
      <c r="B1020" s="4">
        <v>40513</v>
      </c>
      <c r="H1020">
        <f t="shared" si="15"/>
        <v>2010</v>
      </c>
    </row>
    <row r="1021" spans="2:8" x14ac:dyDescent="0.2">
      <c r="B1021" s="4">
        <v>40878</v>
      </c>
      <c r="H1021">
        <f t="shared" si="15"/>
        <v>2011</v>
      </c>
    </row>
    <row r="1022" spans="2:8" x14ac:dyDescent="0.2">
      <c r="B1022" s="4">
        <v>41244</v>
      </c>
      <c r="H1022">
        <f t="shared" si="15"/>
        <v>2012</v>
      </c>
    </row>
    <row r="1023" spans="2:8" x14ac:dyDescent="0.2">
      <c r="B1023" s="4">
        <v>41609</v>
      </c>
      <c r="H1023">
        <f t="shared" si="15"/>
        <v>2013</v>
      </c>
    </row>
    <row r="1024" spans="2:8" x14ac:dyDescent="0.2">
      <c r="B1024" s="4">
        <v>41974</v>
      </c>
      <c r="H1024">
        <f t="shared" si="15"/>
        <v>2014</v>
      </c>
    </row>
    <row r="1025" spans="2:8" x14ac:dyDescent="0.2">
      <c r="B1025" s="4">
        <v>42339</v>
      </c>
      <c r="H1025">
        <f t="shared" si="15"/>
        <v>2015</v>
      </c>
    </row>
    <row r="1026" spans="2:8" x14ac:dyDescent="0.2">
      <c r="B1026" s="4">
        <v>42705</v>
      </c>
      <c r="H1026">
        <f t="shared" si="15"/>
        <v>2016</v>
      </c>
    </row>
    <row r="1027" spans="2:8" x14ac:dyDescent="0.2">
      <c r="B1027" s="4">
        <v>43070</v>
      </c>
      <c r="H1027">
        <f t="shared" ref="H1027:H1090" si="16">YEAR(B1027)</f>
        <v>2017</v>
      </c>
    </row>
    <row r="1028" spans="2:8" x14ac:dyDescent="0.2">
      <c r="B1028" s="4">
        <v>43435</v>
      </c>
      <c r="H1028">
        <f t="shared" si="16"/>
        <v>2018</v>
      </c>
    </row>
    <row r="1029" spans="2:8" x14ac:dyDescent="0.2">
      <c r="B1029" s="4">
        <v>43800</v>
      </c>
      <c r="H1029">
        <f t="shared" si="16"/>
        <v>2019</v>
      </c>
    </row>
    <row r="1030" spans="2:8" x14ac:dyDescent="0.2">
      <c r="B1030" s="4">
        <v>44166</v>
      </c>
      <c r="H1030">
        <f t="shared" si="16"/>
        <v>2020</v>
      </c>
    </row>
    <row r="1031" spans="2:8" x14ac:dyDescent="0.2">
      <c r="B1031" s="4">
        <v>44531</v>
      </c>
      <c r="H1031">
        <f t="shared" si="16"/>
        <v>2021</v>
      </c>
    </row>
    <row r="1032" spans="2:8" x14ac:dyDescent="0.2">
      <c r="B1032" s="4">
        <v>44896</v>
      </c>
      <c r="H1032">
        <f t="shared" si="16"/>
        <v>2022</v>
      </c>
    </row>
    <row r="1033" spans="2:8" x14ac:dyDescent="0.2">
      <c r="B1033" s="4">
        <v>45261</v>
      </c>
      <c r="H1033">
        <f t="shared" si="16"/>
        <v>2023</v>
      </c>
    </row>
    <row r="1034" spans="2:8" x14ac:dyDescent="0.2">
      <c r="B1034" s="4">
        <v>45627</v>
      </c>
      <c r="H1034">
        <f t="shared" si="16"/>
        <v>2024</v>
      </c>
    </row>
    <row r="1035" spans="2:8" x14ac:dyDescent="0.2">
      <c r="B1035" s="4">
        <v>45992</v>
      </c>
      <c r="H1035">
        <f t="shared" si="16"/>
        <v>2025</v>
      </c>
    </row>
    <row r="1036" spans="2:8" x14ac:dyDescent="0.2">
      <c r="B1036" s="4">
        <v>38322</v>
      </c>
      <c r="H1036">
        <f t="shared" si="16"/>
        <v>2004</v>
      </c>
    </row>
    <row r="1037" spans="2:8" x14ac:dyDescent="0.2">
      <c r="B1037" s="4">
        <v>38687</v>
      </c>
      <c r="H1037">
        <f t="shared" si="16"/>
        <v>2005</v>
      </c>
    </row>
    <row r="1038" spans="2:8" x14ac:dyDescent="0.2">
      <c r="B1038" s="4">
        <v>39052</v>
      </c>
      <c r="H1038">
        <f t="shared" si="16"/>
        <v>2006</v>
      </c>
    </row>
    <row r="1039" spans="2:8" x14ac:dyDescent="0.2">
      <c r="B1039" s="4">
        <v>39417</v>
      </c>
      <c r="H1039">
        <f t="shared" si="16"/>
        <v>2007</v>
      </c>
    </row>
    <row r="1040" spans="2:8" x14ac:dyDescent="0.2">
      <c r="B1040" s="4">
        <v>39783</v>
      </c>
      <c r="H1040">
        <f t="shared" si="16"/>
        <v>2008</v>
      </c>
    </row>
    <row r="1041" spans="2:8" x14ac:dyDescent="0.2">
      <c r="B1041" s="4">
        <v>40148</v>
      </c>
      <c r="H1041">
        <f t="shared" si="16"/>
        <v>2009</v>
      </c>
    </row>
    <row r="1042" spans="2:8" x14ac:dyDescent="0.2">
      <c r="B1042" s="4">
        <v>40513</v>
      </c>
      <c r="H1042">
        <f t="shared" si="16"/>
        <v>2010</v>
      </c>
    </row>
    <row r="1043" spans="2:8" x14ac:dyDescent="0.2">
      <c r="B1043" s="4">
        <v>40878</v>
      </c>
      <c r="H1043">
        <f t="shared" si="16"/>
        <v>2011</v>
      </c>
    </row>
    <row r="1044" spans="2:8" x14ac:dyDescent="0.2">
      <c r="B1044" s="4">
        <v>41244</v>
      </c>
      <c r="H1044">
        <f t="shared" si="16"/>
        <v>2012</v>
      </c>
    </row>
    <row r="1045" spans="2:8" x14ac:dyDescent="0.2">
      <c r="B1045" s="4">
        <v>41609</v>
      </c>
      <c r="H1045">
        <f t="shared" si="16"/>
        <v>2013</v>
      </c>
    </row>
    <row r="1046" spans="2:8" x14ac:dyDescent="0.2">
      <c r="B1046" s="4">
        <v>41974</v>
      </c>
      <c r="H1046">
        <f t="shared" si="16"/>
        <v>2014</v>
      </c>
    </row>
    <row r="1047" spans="2:8" x14ac:dyDescent="0.2">
      <c r="B1047" s="4">
        <v>42339</v>
      </c>
      <c r="H1047">
        <f t="shared" si="16"/>
        <v>2015</v>
      </c>
    </row>
    <row r="1048" spans="2:8" x14ac:dyDescent="0.2">
      <c r="B1048" s="4">
        <v>42705</v>
      </c>
      <c r="H1048">
        <f t="shared" si="16"/>
        <v>2016</v>
      </c>
    </row>
    <row r="1049" spans="2:8" x14ac:dyDescent="0.2">
      <c r="B1049" s="4">
        <v>43070</v>
      </c>
      <c r="H1049">
        <f t="shared" si="16"/>
        <v>2017</v>
      </c>
    </row>
    <row r="1050" spans="2:8" x14ac:dyDescent="0.2">
      <c r="B1050" s="4">
        <v>43435</v>
      </c>
      <c r="H1050">
        <f t="shared" si="16"/>
        <v>2018</v>
      </c>
    </row>
    <row r="1051" spans="2:8" x14ac:dyDescent="0.2">
      <c r="B1051" s="4">
        <v>43800</v>
      </c>
      <c r="H1051">
        <f t="shared" si="16"/>
        <v>2019</v>
      </c>
    </row>
    <row r="1052" spans="2:8" x14ac:dyDescent="0.2">
      <c r="B1052" s="4">
        <v>44166</v>
      </c>
      <c r="H1052">
        <f t="shared" si="16"/>
        <v>2020</v>
      </c>
    </row>
    <row r="1053" spans="2:8" x14ac:dyDescent="0.2">
      <c r="B1053" s="4">
        <v>44531</v>
      </c>
      <c r="H1053">
        <f t="shared" si="16"/>
        <v>2021</v>
      </c>
    </row>
    <row r="1054" spans="2:8" x14ac:dyDescent="0.2">
      <c r="B1054" s="4">
        <v>44896</v>
      </c>
      <c r="H1054">
        <f t="shared" si="16"/>
        <v>2022</v>
      </c>
    </row>
    <row r="1055" spans="2:8" x14ac:dyDescent="0.2">
      <c r="B1055" s="4">
        <v>45261</v>
      </c>
      <c r="H1055">
        <f t="shared" si="16"/>
        <v>2023</v>
      </c>
    </row>
    <row r="1056" spans="2:8" x14ac:dyDescent="0.2">
      <c r="B1056" s="4">
        <v>45627</v>
      </c>
      <c r="H1056">
        <f t="shared" si="16"/>
        <v>2024</v>
      </c>
    </row>
    <row r="1057" spans="2:8" x14ac:dyDescent="0.2">
      <c r="B1057" s="4">
        <v>45992</v>
      </c>
      <c r="H1057">
        <f t="shared" si="16"/>
        <v>2025</v>
      </c>
    </row>
    <row r="1058" spans="2:8" x14ac:dyDescent="0.2">
      <c r="B1058" s="4">
        <v>38322</v>
      </c>
      <c r="H1058">
        <f t="shared" si="16"/>
        <v>2004</v>
      </c>
    </row>
    <row r="1059" spans="2:8" x14ac:dyDescent="0.2">
      <c r="B1059" s="4">
        <v>38687</v>
      </c>
      <c r="H1059">
        <f t="shared" si="16"/>
        <v>2005</v>
      </c>
    </row>
    <row r="1060" spans="2:8" x14ac:dyDescent="0.2">
      <c r="B1060" s="4">
        <v>39052</v>
      </c>
      <c r="H1060">
        <f t="shared" si="16"/>
        <v>2006</v>
      </c>
    </row>
    <row r="1061" spans="2:8" x14ac:dyDescent="0.2">
      <c r="B1061" s="4">
        <v>39417</v>
      </c>
      <c r="H1061">
        <f t="shared" si="16"/>
        <v>2007</v>
      </c>
    </row>
    <row r="1062" spans="2:8" x14ac:dyDescent="0.2">
      <c r="B1062" s="4">
        <v>39783</v>
      </c>
      <c r="H1062">
        <f t="shared" si="16"/>
        <v>2008</v>
      </c>
    </row>
    <row r="1063" spans="2:8" x14ac:dyDescent="0.2">
      <c r="B1063" s="4">
        <v>40148</v>
      </c>
      <c r="H1063">
        <f t="shared" si="16"/>
        <v>2009</v>
      </c>
    </row>
    <row r="1064" spans="2:8" x14ac:dyDescent="0.2">
      <c r="B1064" s="4">
        <v>40513</v>
      </c>
      <c r="H1064">
        <f t="shared" si="16"/>
        <v>2010</v>
      </c>
    </row>
    <row r="1065" spans="2:8" x14ac:dyDescent="0.2">
      <c r="B1065" s="4">
        <v>40878</v>
      </c>
      <c r="H1065">
        <f t="shared" si="16"/>
        <v>2011</v>
      </c>
    </row>
    <row r="1066" spans="2:8" x14ac:dyDescent="0.2">
      <c r="B1066" s="4">
        <v>41244</v>
      </c>
      <c r="H1066">
        <f t="shared" si="16"/>
        <v>2012</v>
      </c>
    </row>
    <row r="1067" spans="2:8" x14ac:dyDescent="0.2">
      <c r="B1067" s="4">
        <v>41609</v>
      </c>
      <c r="H1067">
        <f t="shared" si="16"/>
        <v>2013</v>
      </c>
    </row>
    <row r="1068" spans="2:8" x14ac:dyDescent="0.2">
      <c r="B1068" s="4">
        <v>41974</v>
      </c>
      <c r="H1068">
        <f t="shared" si="16"/>
        <v>2014</v>
      </c>
    </row>
    <row r="1069" spans="2:8" x14ac:dyDescent="0.2">
      <c r="B1069" s="4">
        <v>42339</v>
      </c>
      <c r="H1069">
        <f t="shared" si="16"/>
        <v>2015</v>
      </c>
    </row>
    <row r="1070" spans="2:8" x14ac:dyDescent="0.2">
      <c r="B1070" s="4">
        <v>42705</v>
      </c>
      <c r="H1070">
        <f t="shared" si="16"/>
        <v>2016</v>
      </c>
    </row>
    <row r="1071" spans="2:8" x14ac:dyDescent="0.2">
      <c r="B1071" s="4">
        <v>43070</v>
      </c>
      <c r="H1071">
        <f t="shared" si="16"/>
        <v>2017</v>
      </c>
    </row>
    <row r="1072" spans="2:8" x14ac:dyDescent="0.2">
      <c r="B1072" s="4">
        <v>43435</v>
      </c>
      <c r="H1072">
        <f t="shared" si="16"/>
        <v>2018</v>
      </c>
    </row>
    <row r="1073" spans="2:8" x14ac:dyDescent="0.2">
      <c r="B1073" s="4">
        <v>43800</v>
      </c>
      <c r="H1073">
        <f t="shared" si="16"/>
        <v>2019</v>
      </c>
    </row>
    <row r="1074" spans="2:8" x14ac:dyDescent="0.2">
      <c r="B1074" s="4">
        <v>44166</v>
      </c>
      <c r="H1074">
        <f t="shared" si="16"/>
        <v>2020</v>
      </c>
    </row>
    <row r="1075" spans="2:8" x14ac:dyDescent="0.2">
      <c r="B1075" s="4">
        <v>44531</v>
      </c>
      <c r="H1075">
        <f t="shared" si="16"/>
        <v>2021</v>
      </c>
    </row>
    <row r="1076" spans="2:8" x14ac:dyDescent="0.2">
      <c r="B1076" s="4">
        <v>44896</v>
      </c>
      <c r="H1076">
        <f t="shared" si="16"/>
        <v>2022</v>
      </c>
    </row>
    <row r="1077" spans="2:8" x14ac:dyDescent="0.2">
      <c r="B1077" s="4">
        <v>45261</v>
      </c>
      <c r="H1077">
        <f t="shared" si="16"/>
        <v>2023</v>
      </c>
    </row>
    <row r="1078" spans="2:8" x14ac:dyDescent="0.2">
      <c r="B1078" s="4">
        <v>45627</v>
      </c>
      <c r="H1078">
        <f t="shared" si="16"/>
        <v>2024</v>
      </c>
    </row>
    <row r="1079" spans="2:8" x14ac:dyDescent="0.2">
      <c r="B1079" s="4">
        <v>45992</v>
      </c>
      <c r="H1079">
        <f t="shared" si="16"/>
        <v>2025</v>
      </c>
    </row>
    <row r="1080" spans="2:8" x14ac:dyDescent="0.2">
      <c r="B1080" s="4">
        <v>38322</v>
      </c>
      <c r="H1080">
        <f t="shared" si="16"/>
        <v>2004</v>
      </c>
    </row>
    <row r="1081" spans="2:8" x14ac:dyDescent="0.2">
      <c r="B1081" s="4">
        <v>38687</v>
      </c>
      <c r="H1081">
        <f t="shared" si="16"/>
        <v>2005</v>
      </c>
    </row>
    <row r="1082" spans="2:8" x14ac:dyDescent="0.2">
      <c r="B1082" s="4">
        <v>39052</v>
      </c>
      <c r="H1082">
        <f t="shared" si="16"/>
        <v>2006</v>
      </c>
    </row>
    <row r="1083" spans="2:8" x14ac:dyDescent="0.2">
      <c r="B1083" s="4">
        <v>39417</v>
      </c>
      <c r="H1083">
        <f t="shared" si="16"/>
        <v>2007</v>
      </c>
    </row>
    <row r="1084" spans="2:8" x14ac:dyDescent="0.2">
      <c r="B1084" s="4">
        <v>39783</v>
      </c>
      <c r="H1084">
        <f t="shared" si="16"/>
        <v>2008</v>
      </c>
    </row>
    <row r="1085" spans="2:8" x14ac:dyDescent="0.2">
      <c r="B1085" s="4">
        <v>40148</v>
      </c>
      <c r="H1085">
        <f t="shared" si="16"/>
        <v>2009</v>
      </c>
    </row>
    <row r="1086" spans="2:8" x14ac:dyDescent="0.2">
      <c r="B1086" s="4">
        <v>40513</v>
      </c>
      <c r="H1086">
        <f t="shared" si="16"/>
        <v>2010</v>
      </c>
    </row>
    <row r="1087" spans="2:8" x14ac:dyDescent="0.2">
      <c r="B1087" s="4">
        <v>40878</v>
      </c>
      <c r="H1087">
        <f t="shared" si="16"/>
        <v>2011</v>
      </c>
    </row>
    <row r="1088" spans="2:8" x14ac:dyDescent="0.2">
      <c r="B1088" s="4">
        <v>41244</v>
      </c>
      <c r="H1088">
        <f t="shared" si="16"/>
        <v>2012</v>
      </c>
    </row>
    <row r="1089" spans="2:8" x14ac:dyDescent="0.2">
      <c r="B1089" s="4">
        <v>41609</v>
      </c>
      <c r="H1089">
        <f t="shared" si="16"/>
        <v>2013</v>
      </c>
    </row>
    <row r="1090" spans="2:8" x14ac:dyDescent="0.2">
      <c r="B1090" s="4">
        <v>41974</v>
      </c>
      <c r="H1090">
        <f t="shared" si="16"/>
        <v>2014</v>
      </c>
    </row>
    <row r="1091" spans="2:8" x14ac:dyDescent="0.2">
      <c r="B1091" s="4">
        <v>42339</v>
      </c>
      <c r="H1091">
        <f t="shared" ref="H1091:H1154" si="17">YEAR(B1091)</f>
        <v>2015</v>
      </c>
    </row>
    <row r="1092" spans="2:8" x14ac:dyDescent="0.2">
      <c r="B1092" s="4">
        <v>42705</v>
      </c>
      <c r="H1092">
        <f t="shared" si="17"/>
        <v>2016</v>
      </c>
    </row>
    <row r="1093" spans="2:8" x14ac:dyDescent="0.2">
      <c r="B1093" s="4">
        <v>43070</v>
      </c>
      <c r="H1093">
        <f t="shared" si="17"/>
        <v>2017</v>
      </c>
    </row>
    <row r="1094" spans="2:8" x14ac:dyDescent="0.2">
      <c r="B1094" s="4">
        <v>43435</v>
      </c>
      <c r="H1094">
        <f t="shared" si="17"/>
        <v>2018</v>
      </c>
    </row>
    <row r="1095" spans="2:8" x14ac:dyDescent="0.2">
      <c r="B1095" s="4">
        <v>43800</v>
      </c>
      <c r="H1095">
        <f t="shared" si="17"/>
        <v>2019</v>
      </c>
    </row>
    <row r="1096" spans="2:8" x14ac:dyDescent="0.2">
      <c r="B1096" s="4">
        <v>44166</v>
      </c>
      <c r="H1096">
        <f t="shared" si="17"/>
        <v>2020</v>
      </c>
    </row>
    <row r="1097" spans="2:8" x14ac:dyDescent="0.2">
      <c r="B1097" s="4">
        <v>44531</v>
      </c>
      <c r="H1097">
        <f t="shared" si="17"/>
        <v>2021</v>
      </c>
    </row>
    <row r="1098" spans="2:8" x14ac:dyDescent="0.2">
      <c r="B1098" s="4">
        <v>44896</v>
      </c>
      <c r="H1098">
        <f t="shared" si="17"/>
        <v>2022</v>
      </c>
    </row>
    <row r="1099" spans="2:8" x14ac:dyDescent="0.2">
      <c r="B1099" s="4">
        <v>45261</v>
      </c>
      <c r="H1099">
        <f t="shared" si="17"/>
        <v>2023</v>
      </c>
    </row>
    <row r="1100" spans="2:8" x14ac:dyDescent="0.2">
      <c r="B1100" s="4">
        <v>45627</v>
      </c>
      <c r="H1100">
        <f t="shared" si="17"/>
        <v>2024</v>
      </c>
    </row>
    <row r="1101" spans="2:8" x14ac:dyDescent="0.2">
      <c r="B1101" s="4">
        <v>45992</v>
      </c>
      <c r="H1101">
        <f t="shared" si="17"/>
        <v>2025</v>
      </c>
    </row>
    <row r="1102" spans="2:8" x14ac:dyDescent="0.2">
      <c r="B1102" s="4">
        <v>38322</v>
      </c>
      <c r="H1102">
        <f t="shared" si="17"/>
        <v>2004</v>
      </c>
    </row>
    <row r="1103" spans="2:8" x14ac:dyDescent="0.2">
      <c r="B1103" s="4">
        <v>38687</v>
      </c>
      <c r="H1103">
        <f t="shared" si="17"/>
        <v>2005</v>
      </c>
    </row>
    <row r="1104" spans="2:8" x14ac:dyDescent="0.2">
      <c r="B1104" s="4">
        <v>39052</v>
      </c>
      <c r="H1104">
        <f t="shared" si="17"/>
        <v>2006</v>
      </c>
    </row>
    <row r="1105" spans="2:8" x14ac:dyDescent="0.2">
      <c r="B1105" s="4">
        <v>39417</v>
      </c>
      <c r="H1105">
        <f t="shared" si="17"/>
        <v>2007</v>
      </c>
    </row>
    <row r="1106" spans="2:8" x14ac:dyDescent="0.2">
      <c r="B1106" s="4">
        <v>39783</v>
      </c>
      <c r="H1106">
        <f t="shared" si="17"/>
        <v>2008</v>
      </c>
    </row>
    <row r="1107" spans="2:8" x14ac:dyDescent="0.2">
      <c r="B1107" s="4">
        <v>40148</v>
      </c>
      <c r="H1107">
        <f t="shared" si="17"/>
        <v>2009</v>
      </c>
    </row>
    <row r="1108" spans="2:8" x14ac:dyDescent="0.2">
      <c r="B1108" s="4">
        <v>40513</v>
      </c>
      <c r="H1108">
        <f t="shared" si="17"/>
        <v>2010</v>
      </c>
    </row>
    <row r="1109" spans="2:8" x14ac:dyDescent="0.2">
      <c r="B1109" s="4">
        <v>40878</v>
      </c>
      <c r="H1109">
        <f t="shared" si="17"/>
        <v>2011</v>
      </c>
    </row>
    <row r="1110" spans="2:8" x14ac:dyDescent="0.2">
      <c r="B1110" s="4">
        <v>41244</v>
      </c>
      <c r="H1110">
        <f t="shared" si="17"/>
        <v>2012</v>
      </c>
    </row>
    <row r="1111" spans="2:8" x14ac:dyDescent="0.2">
      <c r="B1111" s="4">
        <v>41609</v>
      </c>
      <c r="H1111">
        <f t="shared" si="17"/>
        <v>2013</v>
      </c>
    </row>
    <row r="1112" spans="2:8" x14ac:dyDescent="0.2">
      <c r="B1112" s="4">
        <v>41974</v>
      </c>
      <c r="H1112">
        <f t="shared" si="17"/>
        <v>2014</v>
      </c>
    </row>
    <row r="1113" spans="2:8" x14ac:dyDescent="0.2">
      <c r="B1113" s="4">
        <v>42339</v>
      </c>
      <c r="H1113">
        <f t="shared" si="17"/>
        <v>2015</v>
      </c>
    </row>
    <row r="1114" spans="2:8" x14ac:dyDescent="0.2">
      <c r="B1114" s="4">
        <v>42705</v>
      </c>
      <c r="H1114">
        <f t="shared" si="17"/>
        <v>2016</v>
      </c>
    </row>
    <row r="1115" spans="2:8" x14ac:dyDescent="0.2">
      <c r="B1115" s="4">
        <v>43070</v>
      </c>
      <c r="H1115">
        <f t="shared" si="17"/>
        <v>2017</v>
      </c>
    </row>
    <row r="1116" spans="2:8" x14ac:dyDescent="0.2">
      <c r="B1116" s="4">
        <v>43435</v>
      </c>
      <c r="H1116">
        <f t="shared" si="17"/>
        <v>2018</v>
      </c>
    </row>
    <row r="1117" spans="2:8" x14ac:dyDescent="0.2">
      <c r="B1117" s="4">
        <v>43800</v>
      </c>
      <c r="H1117">
        <f t="shared" si="17"/>
        <v>2019</v>
      </c>
    </row>
    <row r="1118" spans="2:8" x14ac:dyDescent="0.2">
      <c r="B1118" s="4">
        <v>44166</v>
      </c>
      <c r="H1118">
        <f t="shared" si="17"/>
        <v>2020</v>
      </c>
    </row>
    <row r="1119" spans="2:8" x14ac:dyDescent="0.2">
      <c r="B1119" s="4">
        <v>44531</v>
      </c>
      <c r="H1119">
        <f t="shared" si="17"/>
        <v>2021</v>
      </c>
    </row>
    <row r="1120" spans="2:8" x14ac:dyDescent="0.2">
      <c r="B1120" s="4">
        <v>44896</v>
      </c>
      <c r="H1120">
        <f t="shared" si="17"/>
        <v>2022</v>
      </c>
    </row>
    <row r="1121" spans="2:8" x14ac:dyDescent="0.2">
      <c r="B1121" s="4">
        <v>45261</v>
      </c>
      <c r="H1121">
        <f t="shared" si="17"/>
        <v>2023</v>
      </c>
    </row>
    <row r="1122" spans="2:8" x14ac:dyDescent="0.2">
      <c r="B1122" s="4">
        <v>45627</v>
      </c>
      <c r="H1122">
        <f t="shared" si="17"/>
        <v>2024</v>
      </c>
    </row>
    <row r="1123" spans="2:8" x14ac:dyDescent="0.2">
      <c r="B1123" s="4">
        <v>45992</v>
      </c>
      <c r="H1123">
        <f t="shared" si="17"/>
        <v>2025</v>
      </c>
    </row>
    <row r="1124" spans="2:8" x14ac:dyDescent="0.2">
      <c r="B1124" s="4">
        <v>38322</v>
      </c>
      <c r="H1124">
        <f t="shared" si="17"/>
        <v>2004</v>
      </c>
    </row>
    <row r="1125" spans="2:8" x14ac:dyDescent="0.2">
      <c r="B1125" s="4">
        <v>38687</v>
      </c>
      <c r="H1125">
        <f t="shared" si="17"/>
        <v>2005</v>
      </c>
    </row>
    <row r="1126" spans="2:8" x14ac:dyDescent="0.2">
      <c r="B1126" s="4">
        <v>39052</v>
      </c>
      <c r="H1126">
        <f t="shared" si="17"/>
        <v>2006</v>
      </c>
    </row>
    <row r="1127" spans="2:8" x14ac:dyDescent="0.2">
      <c r="B1127" s="4">
        <v>39417</v>
      </c>
      <c r="H1127">
        <f t="shared" si="17"/>
        <v>2007</v>
      </c>
    </row>
    <row r="1128" spans="2:8" x14ac:dyDescent="0.2">
      <c r="B1128" s="4">
        <v>39783</v>
      </c>
      <c r="H1128">
        <f t="shared" si="17"/>
        <v>2008</v>
      </c>
    </row>
    <row r="1129" spans="2:8" x14ac:dyDescent="0.2">
      <c r="B1129" s="4">
        <v>40148</v>
      </c>
      <c r="H1129">
        <f t="shared" si="17"/>
        <v>2009</v>
      </c>
    </row>
    <row r="1130" spans="2:8" x14ac:dyDescent="0.2">
      <c r="B1130" s="4">
        <v>40513</v>
      </c>
      <c r="H1130">
        <f t="shared" si="17"/>
        <v>2010</v>
      </c>
    </row>
    <row r="1131" spans="2:8" x14ac:dyDescent="0.2">
      <c r="B1131" s="4">
        <v>40878</v>
      </c>
      <c r="H1131">
        <f t="shared" si="17"/>
        <v>2011</v>
      </c>
    </row>
    <row r="1132" spans="2:8" x14ac:dyDescent="0.2">
      <c r="B1132" s="4">
        <v>41244</v>
      </c>
      <c r="H1132">
        <f t="shared" si="17"/>
        <v>2012</v>
      </c>
    </row>
    <row r="1133" spans="2:8" x14ac:dyDescent="0.2">
      <c r="B1133" s="4">
        <v>41609</v>
      </c>
      <c r="H1133">
        <f t="shared" si="17"/>
        <v>2013</v>
      </c>
    </row>
    <row r="1134" spans="2:8" x14ac:dyDescent="0.2">
      <c r="B1134" s="4">
        <v>41974</v>
      </c>
      <c r="H1134">
        <f t="shared" si="17"/>
        <v>2014</v>
      </c>
    </row>
    <row r="1135" spans="2:8" x14ac:dyDescent="0.2">
      <c r="B1135" s="4">
        <v>42339</v>
      </c>
      <c r="H1135">
        <f t="shared" si="17"/>
        <v>2015</v>
      </c>
    </row>
    <row r="1136" spans="2:8" x14ac:dyDescent="0.2">
      <c r="B1136" s="4">
        <v>42705</v>
      </c>
      <c r="H1136">
        <f t="shared" si="17"/>
        <v>2016</v>
      </c>
    </row>
    <row r="1137" spans="2:8" x14ac:dyDescent="0.2">
      <c r="B1137" s="4">
        <v>43070</v>
      </c>
      <c r="H1137">
        <f t="shared" si="17"/>
        <v>2017</v>
      </c>
    </row>
    <row r="1138" spans="2:8" x14ac:dyDescent="0.2">
      <c r="B1138" s="4">
        <v>43435</v>
      </c>
      <c r="H1138">
        <f t="shared" si="17"/>
        <v>2018</v>
      </c>
    </row>
    <row r="1139" spans="2:8" x14ac:dyDescent="0.2">
      <c r="B1139" s="4">
        <v>43800</v>
      </c>
      <c r="H1139">
        <f t="shared" si="17"/>
        <v>2019</v>
      </c>
    </row>
    <row r="1140" spans="2:8" x14ac:dyDescent="0.2">
      <c r="B1140" s="4">
        <v>44166</v>
      </c>
      <c r="H1140">
        <f t="shared" si="17"/>
        <v>2020</v>
      </c>
    </row>
    <row r="1141" spans="2:8" x14ac:dyDescent="0.2">
      <c r="B1141" s="4">
        <v>44531</v>
      </c>
      <c r="H1141">
        <f t="shared" si="17"/>
        <v>2021</v>
      </c>
    </row>
    <row r="1142" spans="2:8" x14ac:dyDescent="0.2">
      <c r="B1142" s="4">
        <v>44896</v>
      </c>
      <c r="H1142">
        <f t="shared" si="17"/>
        <v>2022</v>
      </c>
    </row>
    <row r="1143" spans="2:8" x14ac:dyDescent="0.2">
      <c r="B1143" s="4">
        <v>45261</v>
      </c>
      <c r="H1143">
        <f t="shared" si="17"/>
        <v>2023</v>
      </c>
    </row>
    <row r="1144" spans="2:8" x14ac:dyDescent="0.2">
      <c r="B1144" s="4">
        <v>45627</v>
      </c>
      <c r="H1144">
        <f t="shared" si="17"/>
        <v>2024</v>
      </c>
    </row>
    <row r="1145" spans="2:8" x14ac:dyDescent="0.2">
      <c r="B1145" s="4">
        <v>45992</v>
      </c>
      <c r="H1145">
        <f t="shared" si="17"/>
        <v>2025</v>
      </c>
    </row>
    <row r="1146" spans="2:8" x14ac:dyDescent="0.2">
      <c r="B1146" s="4">
        <v>38322</v>
      </c>
      <c r="H1146">
        <f t="shared" si="17"/>
        <v>2004</v>
      </c>
    </row>
    <row r="1147" spans="2:8" x14ac:dyDescent="0.2">
      <c r="B1147" s="4">
        <v>38687</v>
      </c>
      <c r="H1147">
        <f t="shared" si="17"/>
        <v>2005</v>
      </c>
    </row>
    <row r="1148" spans="2:8" x14ac:dyDescent="0.2">
      <c r="B1148" s="4">
        <v>39052</v>
      </c>
      <c r="H1148">
        <f t="shared" si="17"/>
        <v>2006</v>
      </c>
    </row>
    <row r="1149" spans="2:8" x14ac:dyDescent="0.2">
      <c r="B1149" s="4">
        <v>39417</v>
      </c>
      <c r="H1149">
        <f t="shared" si="17"/>
        <v>2007</v>
      </c>
    </row>
    <row r="1150" spans="2:8" x14ac:dyDescent="0.2">
      <c r="B1150" s="4">
        <v>39783</v>
      </c>
      <c r="H1150">
        <f t="shared" si="17"/>
        <v>2008</v>
      </c>
    </row>
    <row r="1151" spans="2:8" x14ac:dyDescent="0.2">
      <c r="B1151" s="4">
        <v>40148</v>
      </c>
      <c r="H1151">
        <f t="shared" si="17"/>
        <v>2009</v>
      </c>
    </row>
    <row r="1152" spans="2:8" x14ac:dyDescent="0.2">
      <c r="B1152" s="4">
        <v>40513</v>
      </c>
      <c r="H1152">
        <f t="shared" si="17"/>
        <v>2010</v>
      </c>
    </row>
    <row r="1153" spans="2:8" x14ac:dyDescent="0.2">
      <c r="B1153" s="4">
        <v>40878</v>
      </c>
      <c r="H1153">
        <f t="shared" si="17"/>
        <v>2011</v>
      </c>
    </row>
    <row r="1154" spans="2:8" x14ac:dyDescent="0.2">
      <c r="B1154" s="4">
        <v>41244</v>
      </c>
      <c r="H1154">
        <f t="shared" si="17"/>
        <v>2012</v>
      </c>
    </row>
    <row r="1155" spans="2:8" x14ac:dyDescent="0.2">
      <c r="B1155" s="4">
        <v>41609</v>
      </c>
      <c r="H1155">
        <f t="shared" ref="H1155:H1218" si="18">YEAR(B1155)</f>
        <v>2013</v>
      </c>
    </row>
    <row r="1156" spans="2:8" x14ac:dyDescent="0.2">
      <c r="B1156" s="4">
        <v>41974</v>
      </c>
      <c r="H1156">
        <f t="shared" si="18"/>
        <v>2014</v>
      </c>
    </row>
    <row r="1157" spans="2:8" x14ac:dyDescent="0.2">
      <c r="B1157" s="4">
        <v>42339</v>
      </c>
      <c r="H1157">
        <f t="shared" si="18"/>
        <v>2015</v>
      </c>
    </row>
    <row r="1158" spans="2:8" x14ac:dyDescent="0.2">
      <c r="B1158" s="4">
        <v>42705</v>
      </c>
      <c r="H1158">
        <f t="shared" si="18"/>
        <v>2016</v>
      </c>
    </row>
    <row r="1159" spans="2:8" x14ac:dyDescent="0.2">
      <c r="B1159" s="4">
        <v>43070</v>
      </c>
      <c r="H1159">
        <f t="shared" si="18"/>
        <v>2017</v>
      </c>
    </row>
    <row r="1160" spans="2:8" x14ac:dyDescent="0.2">
      <c r="B1160" s="4">
        <v>43435</v>
      </c>
      <c r="H1160">
        <f t="shared" si="18"/>
        <v>2018</v>
      </c>
    </row>
    <row r="1161" spans="2:8" x14ac:dyDescent="0.2">
      <c r="B1161" s="4">
        <v>43800</v>
      </c>
      <c r="H1161">
        <f t="shared" si="18"/>
        <v>2019</v>
      </c>
    </row>
    <row r="1162" spans="2:8" x14ac:dyDescent="0.2">
      <c r="B1162" s="4">
        <v>44166</v>
      </c>
      <c r="H1162">
        <f t="shared" si="18"/>
        <v>2020</v>
      </c>
    </row>
    <row r="1163" spans="2:8" x14ac:dyDescent="0.2">
      <c r="B1163" s="4">
        <v>44531</v>
      </c>
      <c r="H1163">
        <f t="shared" si="18"/>
        <v>2021</v>
      </c>
    </row>
    <row r="1164" spans="2:8" x14ac:dyDescent="0.2">
      <c r="B1164" s="4">
        <v>44896</v>
      </c>
      <c r="H1164">
        <f t="shared" si="18"/>
        <v>2022</v>
      </c>
    </row>
    <row r="1165" spans="2:8" x14ac:dyDescent="0.2">
      <c r="B1165" s="4">
        <v>45261</v>
      </c>
      <c r="H1165">
        <f t="shared" si="18"/>
        <v>2023</v>
      </c>
    </row>
    <row r="1166" spans="2:8" x14ac:dyDescent="0.2">
      <c r="B1166" s="4">
        <v>45627</v>
      </c>
      <c r="H1166">
        <f t="shared" si="18"/>
        <v>2024</v>
      </c>
    </row>
    <row r="1167" spans="2:8" x14ac:dyDescent="0.2">
      <c r="B1167" s="4">
        <v>45992</v>
      </c>
      <c r="H1167">
        <f t="shared" si="18"/>
        <v>2025</v>
      </c>
    </row>
    <row r="1168" spans="2:8" x14ac:dyDescent="0.2">
      <c r="B1168" s="4">
        <v>38322</v>
      </c>
      <c r="H1168">
        <f t="shared" si="18"/>
        <v>2004</v>
      </c>
    </row>
    <row r="1169" spans="2:8" x14ac:dyDescent="0.2">
      <c r="B1169" s="4">
        <v>38687</v>
      </c>
      <c r="H1169">
        <f t="shared" si="18"/>
        <v>2005</v>
      </c>
    </row>
    <row r="1170" spans="2:8" x14ac:dyDescent="0.2">
      <c r="B1170" s="4">
        <v>39052</v>
      </c>
      <c r="H1170">
        <f t="shared" si="18"/>
        <v>2006</v>
      </c>
    </row>
    <row r="1171" spans="2:8" x14ac:dyDescent="0.2">
      <c r="B1171" s="4">
        <v>39417</v>
      </c>
      <c r="H1171">
        <f t="shared" si="18"/>
        <v>2007</v>
      </c>
    </row>
    <row r="1172" spans="2:8" x14ac:dyDescent="0.2">
      <c r="B1172" s="4">
        <v>39783</v>
      </c>
      <c r="H1172">
        <f t="shared" si="18"/>
        <v>2008</v>
      </c>
    </row>
    <row r="1173" spans="2:8" x14ac:dyDescent="0.2">
      <c r="B1173" s="4">
        <v>40148</v>
      </c>
      <c r="H1173">
        <f t="shared" si="18"/>
        <v>2009</v>
      </c>
    </row>
    <row r="1174" spans="2:8" x14ac:dyDescent="0.2">
      <c r="B1174" s="4">
        <v>40513</v>
      </c>
      <c r="H1174">
        <f t="shared" si="18"/>
        <v>2010</v>
      </c>
    </row>
    <row r="1175" spans="2:8" x14ac:dyDescent="0.2">
      <c r="B1175" s="4">
        <v>40878</v>
      </c>
      <c r="H1175">
        <f t="shared" si="18"/>
        <v>2011</v>
      </c>
    </row>
    <row r="1176" spans="2:8" x14ac:dyDescent="0.2">
      <c r="B1176" s="4">
        <v>41244</v>
      </c>
      <c r="H1176">
        <f t="shared" si="18"/>
        <v>2012</v>
      </c>
    </row>
    <row r="1177" spans="2:8" x14ac:dyDescent="0.2">
      <c r="B1177" s="4">
        <v>41609</v>
      </c>
      <c r="H1177">
        <f t="shared" si="18"/>
        <v>2013</v>
      </c>
    </row>
    <row r="1178" spans="2:8" x14ac:dyDescent="0.2">
      <c r="B1178" s="4">
        <v>41974</v>
      </c>
      <c r="H1178">
        <f t="shared" si="18"/>
        <v>2014</v>
      </c>
    </row>
    <row r="1179" spans="2:8" x14ac:dyDescent="0.2">
      <c r="B1179" s="4">
        <v>42339</v>
      </c>
      <c r="H1179">
        <f t="shared" si="18"/>
        <v>2015</v>
      </c>
    </row>
    <row r="1180" spans="2:8" x14ac:dyDescent="0.2">
      <c r="B1180" s="4">
        <v>42705</v>
      </c>
      <c r="H1180">
        <f t="shared" si="18"/>
        <v>2016</v>
      </c>
    </row>
    <row r="1181" spans="2:8" x14ac:dyDescent="0.2">
      <c r="B1181" s="4">
        <v>43070</v>
      </c>
      <c r="H1181">
        <f t="shared" si="18"/>
        <v>2017</v>
      </c>
    </row>
    <row r="1182" spans="2:8" x14ac:dyDescent="0.2">
      <c r="B1182" s="4">
        <v>43435</v>
      </c>
      <c r="H1182">
        <f t="shared" si="18"/>
        <v>2018</v>
      </c>
    </row>
    <row r="1183" spans="2:8" x14ac:dyDescent="0.2">
      <c r="B1183" s="4">
        <v>43800</v>
      </c>
      <c r="H1183">
        <f t="shared" si="18"/>
        <v>2019</v>
      </c>
    </row>
    <row r="1184" spans="2:8" x14ac:dyDescent="0.2">
      <c r="B1184" s="4">
        <v>44166</v>
      </c>
      <c r="H1184">
        <f t="shared" si="18"/>
        <v>2020</v>
      </c>
    </row>
    <row r="1185" spans="2:8" x14ac:dyDescent="0.2">
      <c r="B1185" s="4">
        <v>44531</v>
      </c>
      <c r="H1185">
        <f t="shared" si="18"/>
        <v>2021</v>
      </c>
    </row>
    <row r="1186" spans="2:8" x14ac:dyDescent="0.2">
      <c r="B1186" s="4">
        <v>44896</v>
      </c>
      <c r="H1186">
        <f t="shared" si="18"/>
        <v>2022</v>
      </c>
    </row>
    <row r="1187" spans="2:8" x14ac:dyDescent="0.2">
      <c r="B1187" s="4">
        <v>45261</v>
      </c>
      <c r="H1187">
        <f t="shared" si="18"/>
        <v>2023</v>
      </c>
    </row>
    <row r="1188" spans="2:8" x14ac:dyDescent="0.2">
      <c r="B1188" s="4">
        <v>45627</v>
      </c>
      <c r="H1188">
        <f t="shared" si="18"/>
        <v>2024</v>
      </c>
    </row>
    <row r="1189" spans="2:8" x14ac:dyDescent="0.2">
      <c r="B1189" s="4">
        <v>45992</v>
      </c>
      <c r="H1189">
        <f t="shared" si="18"/>
        <v>2025</v>
      </c>
    </row>
    <row r="1190" spans="2:8" x14ac:dyDescent="0.2">
      <c r="B1190" s="4">
        <v>38322</v>
      </c>
      <c r="H1190">
        <f t="shared" si="18"/>
        <v>2004</v>
      </c>
    </row>
    <row r="1191" spans="2:8" x14ac:dyDescent="0.2">
      <c r="B1191" s="4">
        <v>38687</v>
      </c>
      <c r="H1191">
        <f t="shared" si="18"/>
        <v>2005</v>
      </c>
    </row>
    <row r="1192" spans="2:8" x14ac:dyDescent="0.2">
      <c r="B1192" s="4">
        <v>39052</v>
      </c>
      <c r="H1192">
        <f t="shared" si="18"/>
        <v>2006</v>
      </c>
    </row>
    <row r="1193" spans="2:8" x14ac:dyDescent="0.2">
      <c r="B1193" s="4">
        <v>39417</v>
      </c>
      <c r="H1193">
        <f t="shared" si="18"/>
        <v>2007</v>
      </c>
    </row>
    <row r="1194" spans="2:8" x14ac:dyDescent="0.2">
      <c r="B1194" s="4">
        <v>39783</v>
      </c>
      <c r="H1194">
        <f t="shared" si="18"/>
        <v>2008</v>
      </c>
    </row>
    <row r="1195" spans="2:8" x14ac:dyDescent="0.2">
      <c r="B1195" s="4">
        <v>40148</v>
      </c>
      <c r="H1195">
        <f t="shared" si="18"/>
        <v>2009</v>
      </c>
    </row>
    <row r="1196" spans="2:8" x14ac:dyDescent="0.2">
      <c r="B1196" s="4">
        <v>40513</v>
      </c>
      <c r="H1196">
        <f t="shared" si="18"/>
        <v>2010</v>
      </c>
    </row>
    <row r="1197" spans="2:8" x14ac:dyDescent="0.2">
      <c r="B1197" s="4">
        <v>40878</v>
      </c>
      <c r="H1197">
        <f t="shared" si="18"/>
        <v>2011</v>
      </c>
    </row>
    <row r="1198" spans="2:8" x14ac:dyDescent="0.2">
      <c r="B1198" s="4">
        <v>41244</v>
      </c>
      <c r="H1198">
        <f t="shared" si="18"/>
        <v>2012</v>
      </c>
    </row>
    <row r="1199" spans="2:8" x14ac:dyDescent="0.2">
      <c r="B1199" s="4">
        <v>41609</v>
      </c>
      <c r="H1199">
        <f t="shared" si="18"/>
        <v>2013</v>
      </c>
    </row>
    <row r="1200" spans="2:8" x14ac:dyDescent="0.2">
      <c r="B1200" s="4">
        <v>41974</v>
      </c>
      <c r="H1200">
        <f t="shared" si="18"/>
        <v>2014</v>
      </c>
    </row>
    <row r="1201" spans="2:8" x14ac:dyDescent="0.2">
      <c r="B1201" s="4">
        <v>42339</v>
      </c>
      <c r="H1201">
        <f t="shared" si="18"/>
        <v>2015</v>
      </c>
    </row>
    <row r="1202" spans="2:8" x14ac:dyDescent="0.2">
      <c r="B1202" s="4">
        <v>42705</v>
      </c>
      <c r="H1202">
        <f t="shared" si="18"/>
        <v>2016</v>
      </c>
    </row>
    <row r="1203" spans="2:8" x14ac:dyDescent="0.2">
      <c r="B1203" s="4">
        <v>43070</v>
      </c>
      <c r="H1203">
        <f t="shared" si="18"/>
        <v>2017</v>
      </c>
    </row>
    <row r="1204" spans="2:8" x14ac:dyDescent="0.2">
      <c r="B1204" s="4">
        <v>43435</v>
      </c>
      <c r="H1204">
        <f t="shared" si="18"/>
        <v>2018</v>
      </c>
    </row>
    <row r="1205" spans="2:8" x14ac:dyDescent="0.2">
      <c r="B1205" s="4">
        <v>43800</v>
      </c>
      <c r="H1205">
        <f t="shared" si="18"/>
        <v>2019</v>
      </c>
    </row>
    <row r="1206" spans="2:8" x14ac:dyDescent="0.2">
      <c r="B1206" s="4">
        <v>44166</v>
      </c>
      <c r="H1206">
        <f t="shared" si="18"/>
        <v>2020</v>
      </c>
    </row>
    <row r="1207" spans="2:8" x14ac:dyDescent="0.2">
      <c r="B1207" s="4">
        <v>44531</v>
      </c>
      <c r="H1207">
        <f t="shared" si="18"/>
        <v>2021</v>
      </c>
    </row>
    <row r="1208" spans="2:8" x14ac:dyDescent="0.2">
      <c r="B1208" s="4">
        <v>44896</v>
      </c>
      <c r="H1208">
        <f t="shared" si="18"/>
        <v>2022</v>
      </c>
    </row>
    <row r="1209" spans="2:8" x14ac:dyDescent="0.2">
      <c r="B1209" s="4">
        <v>45261</v>
      </c>
      <c r="H1209">
        <f t="shared" si="18"/>
        <v>2023</v>
      </c>
    </row>
    <row r="1210" spans="2:8" x14ac:dyDescent="0.2">
      <c r="B1210" s="4">
        <v>45627</v>
      </c>
      <c r="H1210">
        <f t="shared" si="18"/>
        <v>2024</v>
      </c>
    </row>
    <row r="1211" spans="2:8" x14ac:dyDescent="0.2">
      <c r="B1211" s="4">
        <v>45992</v>
      </c>
      <c r="H1211">
        <f t="shared" si="18"/>
        <v>2025</v>
      </c>
    </row>
    <row r="1212" spans="2:8" x14ac:dyDescent="0.2">
      <c r="B1212" s="4">
        <v>38322</v>
      </c>
      <c r="H1212">
        <f t="shared" si="18"/>
        <v>2004</v>
      </c>
    </row>
    <row r="1213" spans="2:8" x14ac:dyDescent="0.2">
      <c r="B1213" s="4">
        <v>38687</v>
      </c>
      <c r="H1213">
        <f t="shared" si="18"/>
        <v>2005</v>
      </c>
    </row>
    <row r="1214" spans="2:8" x14ac:dyDescent="0.2">
      <c r="B1214" s="4">
        <v>39052</v>
      </c>
      <c r="H1214">
        <f t="shared" si="18"/>
        <v>2006</v>
      </c>
    </row>
    <row r="1215" spans="2:8" x14ac:dyDescent="0.2">
      <c r="B1215" s="4">
        <v>39417</v>
      </c>
      <c r="H1215">
        <f t="shared" si="18"/>
        <v>2007</v>
      </c>
    </row>
    <row r="1216" spans="2:8" x14ac:dyDescent="0.2">
      <c r="B1216" s="4">
        <v>39783</v>
      </c>
      <c r="H1216">
        <f t="shared" si="18"/>
        <v>2008</v>
      </c>
    </row>
    <row r="1217" spans="2:8" x14ac:dyDescent="0.2">
      <c r="B1217" s="4">
        <v>40148</v>
      </c>
      <c r="H1217">
        <f t="shared" si="18"/>
        <v>2009</v>
      </c>
    </row>
    <row r="1218" spans="2:8" x14ac:dyDescent="0.2">
      <c r="B1218" s="4">
        <v>40513</v>
      </c>
      <c r="H1218">
        <f t="shared" si="18"/>
        <v>2010</v>
      </c>
    </row>
    <row r="1219" spans="2:8" x14ac:dyDescent="0.2">
      <c r="B1219" s="4">
        <v>40878</v>
      </c>
      <c r="H1219">
        <f t="shared" ref="H1219:H1282" si="19">YEAR(B1219)</f>
        <v>2011</v>
      </c>
    </row>
    <row r="1220" spans="2:8" x14ac:dyDescent="0.2">
      <c r="B1220" s="4">
        <v>41244</v>
      </c>
      <c r="H1220">
        <f t="shared" si="19"/>
        <v>2012</v>
      </c>
    </row>
    <row r="1221" spans="2:8" x14ac:dyDescent="0.2">
      <c r="B1221" s="4">
        <v>41609</v>
      </c>
      <c r="H1221">
        <f t="shared" si="19"/>
        <v>2013</v>
      </c>
    </row>
    <row r="1222" spans="2:8" x14ac:dyDescent="0.2">
      <c r="B1222" s="4">
        <v>41974</v>
      </c>
      <c r="H1222">
        <f t="shared" si="19"/>
        <v>2014</v>
      </c>
    </row>
    <row r="1223" spans="2:8" x14ac:dyDescent="0.2">
      <c r="B1223" s="4">
        <v>42339</v>
      </c>
      <c r="H1223">
        <f t="shared" si="19"/>
        <v>2015</v>
      </c>
    </row>
    <row r="1224" spans="2:8" x14ac:dyDescent="0.2">
      <c r="B1224" s="4">
        <v>42705</v>
      </c>
      <c r="H1224">
        <f t="shared" si="19"/>
        <v>2016</v>
      </c>
    </row>
    <row r="1225" spans="2:8" x14ac:dyDescent="0.2">
      <c r="B1225" s="4">
        <v>43070</v>
      </c>
      <c r="H1225">
        <f t="shared" si="19"/>
        <v>2017</v>
      </c>
    </row>
    <row r="1226" spans="2:8" x14ac:dyDescent="0.2">
      <c r="B1226" s="4">
        <v>43435</v>
      </c>
      <c r="H1226">
        <f t="shared" si="19"/>
        <v>2018</v>
      </c>
    </row>
    <row r="1227" spans="2:8" x14ac:dyDescent="0.2">
      <c r="B1227" s="4">
        <v>43800</v>
      </c>
      <c r="H1227">
        <f t="shared" si="19"/>
        <v>2019</v>
      </c>
    </row>
    <row r="1228" spans="2:8" x14ac:dyDescent="0.2">
      <c r="B1228" s="4">
        <v>44166</v>
      </c>
      <c r="H1228">
        <f t="shared" si="19"/>
        <v>2020</v>
      </c>
    </row>
    <row r="1229" spans="2:8" x14ac:dyDescent="0.2">
      <c r="B1229" s="4">
        <v>44531</v>
      </c>
      <c r="H1229">
        <f t="shared" si="19"/>
        <v>2021</v>
      </c>
    </row>
    <row r="1230" spans="2:8" x14ac:dyDescent="0.2">
      <c r="B1230" s="4">
        <v>44896</v>
      </c>
      <c r="H1230">
        <f t="shared" si="19"/>
        <v>2022</v>
      </c>
    </row>
    <row r="1231" spans="2:8" x14ac:dyDescent="0.2">
      <c r="B1231" s="4">
        <v>45261</v>
      </c>
      <c r="H1231">
        <f t="shared" si="19"/>
        <v>2023</v>
      </c>
    </row>
    <row r="1232" spans="2:8" x14ac:dyDescent="0.2">
      <c r="B1232" s="4">
        <v>45627</v>
      </c>
      <c r="H1232">
        <f t="shared" si="19"/>
        <v>2024</v>
      </c>
    </row>
    <row r="1233" spans="2:8" x14ac:dyDescent="0.2">
      <c r="B1233" s="4">
        <v>45992</v>
      </c>
      <c r="H1233">
        <f t="shared" si="19"/>
        <v>2025</v>
      </c>
    </row>
    <row r="1234" spans="2:8" x14ac:dyDescent="0.2">
      <c r="B1234" s="4">
        <v>38322</v>
      </c>
      <c r="H1234">
        <f t="shared" si="19"/>
        <v>2004</v>
      </c>
    </row>
    <row r="1235" spans="2:8" x14ac:dyDescent="0.2">
      <c r="B1235" s="4">
        <v>38687</v>
      </c>
      <c r="H1235">
        <f t="shared" si="19"/>
        <v>2005</v>
      </c>
    </row>
    <row r="1236" spans="2:8" x14ac:dyDescent="0.2">
      <c r="B1236" s="4">
        <v>39052</v>
      </c>
      <c r="H1236">
        <f t="shared" si="19"/>
        <v>2006</v>
      </c>
    </row>
    <row r="1237" spans="2:8" x14ac:dyDescent="0.2">
      <c r="B1237" s="4">
        <v>39417</v>
      </c>
      <c r="H1237">
        <f t="shared" si="19"/>
        <v>2007</v>
      </c>
    </row>
    <row r="1238" spans="2:8" x14ac:dyDescent="0.2">
      <c r="B1238" s="4">
        <v>39783</v>
      </c>
      <c r="H1238">
        <f t="shared" si="19"/>
        <v>2008</v>
      </c>
    </row>
    <row r="1239" spans="2:8" x14ac:dyDescent="0.2">
      <c r="B1239" s="4">
        <v>40148</v>
      </c>
      <c r="H1239">
        <f t="shared" si="19"/>
        <v>2009</v>
      </c>
    </row>
    <row r="1240" spans="2:8" x14ac:dyDescent="0.2">
      <c r="B1240" s="4">
        <v>40513</v>
      </c>
      <c r="H1240">
        <f t="shared" si="19"/>
        <v>2010</v>
      </c>
    </row>
    <row r="1241" spans="2:8" x14ac:dyDescent="0.2">
      <c r="B1241" s="4">
        <v>40878</v>
      </c>
      <c r="H1241">
        <f t="shared" si="19"/>
        <v>2011</v>
      </c>
    </row>
    <row r="1242" spans="2:8" x14ac:dyDescent="0.2">
      <c r="B1242" s="4">
        <v>41244</v>
      </c>
      <c r="H1242">
        <f t="shared" si="19"/>
        <v>2012</v>
      </c>
    </row>
    <row r="1243" spans="2:8" x14ac:dyDescent="0.2">
      <c r="B1243" s="4">
        <v>41609</v>
      </c>
      <c r="H1243">
        <f t="shared" si="19"/>
        <v>2013</v>
      </c>
    </row>
    <row r="1244" spans="2:8" x14ac:dyDescent="0.2">
      <c r="B1244" s="4">
        <v>41974</v>
      </c>
      <c r="H1244">
        <f t="shared" si="19"/>
        <v>2014</v>
      </c>
    </row>
    <row r="1245" spans="2:8" x14ac:dyDescent="0.2">
      <c r="B1245" s="4">
        <v>42339</v>
      </c>
      <c r="H1245">
        <f t="shared" si="19"/>
        <v>2015</v>
      </c>
    </row>
    <row r="1246" spans="2:8" x14ac:dyDescent="0.2">
      <c r="B1246" s="4">
        <v>42705</v>
      </c>
      <c r="H1246">
        <f t="shared" si="19"/>
        <v>2016</v>
      </c>
    </row>
    <row r="1247" spans="2:8" x14ac:dyDescent="0.2">
      <c r="B1247" s="4">
        <v>43070</v>
      </c>
      <c r="H1247">
        <f t="shared" si="19"/>
        <v>2017</v>
      </c>
    </row>
    <row r="1248" spans="2:8" x14ac:dyDescent="0.2">
      <c r="B1248" s="4">
        <v>43435</v>
      </c>
      <c r="H1248">
        <f t="shared" si="19"/>
        <v>2018</v>
      </c>
    </row>
    <row r="1249" spans="2:8" x14ac:dyDescent="0.2">
      <c r="B1249" s="4">
        <v>43800</v>
      </c>
      <c r="H1249">
        <f t="shared" si="19"/>
        <v>2019</v>
      </c>
    </row>
    <row r="1250" spans="2:8" x14ac:dyDescent="0.2">
      <c r="B1250" s="4">
        <v>44166</v>
      </c>
      <c r="H1250">
        <f t="shared" si="19"/>
        <v>2020</v>
      </c>
    </row>
    <row r="1251" spans="2:8" x14ac:dyDescent="0.2">
      <c r="B1251" s="4">
        <v>44531</v>
      </c>
      <c r="H1251">
        <f t="shared" si="19"/>
        <v>2021</v>
      </c>
    </row>
    <row r="1252" spans="2:8" x14ac:dyDescent="0.2">
      <c r="B1252" s="4">
        <v>44896</v>
      </c>
      <c r="H1252">
        <f t="shared" si="19"/>
        <v>2022</v>
      </c>
    </row>
    <row r="1253" spans="2:8" x14ac:dyDescent="0.2">
      <c r="B1253" s="4">
        <v>45261</v>
      </c>
      <c r="H1253">
        <f t="shared" si="19"/>
        <v>2023</v>
      </c>
    </row>
    <row r="1254" spans="2:8" x14ac:dyDescent="0.2">
      <c r="B1254" s="4">
        <v>45627</v>
      </c>
      <c r="H1254">
        <f t="shared" si="19"/>
        <v>2024</v>
      </c>
    </row>
    <row r="1255" spans="2:8" x14ac:dyDescent="0.2">
      <c r="B1255" s="4">
        <v>45992</v>
      </c>
      <c r="H1255">
        <f t="shared" si="19"/>
        <v>2025</v>
      </c>
    </row>
    <row r="1256" spans="2:8" x14ac:dyDescent="0.2">
      <c r="B1256" s="4">
        <v>38717</v>
      </c>
      <c r="H1256">
        <f t="shared" si="19"/>
        <v>2005</v>
      </c>
    </row>
    <row r="1257" spans="2:8" x14ac:dyDescent="0.2">
      <c r="B1257" s="4">
        <v>39082</v>
      </c>
      <c r="H1257">
        <f t="shared" si="19"/>
        <v>2006</v>
      </c>
    </row>
    <row r="1258" spans="2:8" x14ac:dyDescent="0.2">
      <c r="B1258" s="4">
        <v>39447</v>
      </c>
      <c r="H1258">
        <f t="shared" si="19"/>
        <v>2007</v>
      </c>
    </row>
    <row r="1259" spans="2:8" x14ac:dyDescent="0.2">
      <c r="B1259" s="4">
        <v>39813</v>
      </c>
      <c r="H1259">
        <f t="shared" si="19"/>
        <v>2008</v>
      </c>
    </row>
    <row r="1260" spans="2:8" x14ac:dyDescent="0.2">
      <c r="B1260" s="4">
        <v>40178</v>
      </c>
      <c r="H1260">
        <f t="shared" si="19"/>
        <v>2009</v>
      </c>
    </row>
    <row r="1261" spans="2:8" x14ac:dyDescent="0.2">
      <c r="B1261" s="4">
        <v>40543</v>
      </c>
      <c r="H1261">
        <f t="shared" si="19"/>
        <v>2010</v>
      </c>
    </row>
    <row r="1262" spans="2:8" x14ac:dyDescent="0.2">
      <c r="B1262" s="4">
        <v>40908</v>
      </c>
      <c r="H1262">
        <f t="shared" si="19"/>
        <v>2011</v>
      </c>
    </row>
    <row r="1263" spans="2:8" x14ac:dyDescent="0.2">
      <c r="B1263" s="4">
        <v>41274</v>
      </c>
      <c r="H1263">
        <f t="shared" si="19"/>
        <v>2012</v>
      </c>
    </row>
    <row r="1264" spans="2:8" x14ac:dyDescent="0.2">
      <c r="B1264" s="4">
        <v>41639</v>
      </c>
      <c r="H1264">
        <f t="shared" si="19"/>
        <v>2013</v>
      </c>
    </row>
    <row r="1265" spans="2:8" x14ac:dyDescent="0.2">
      <c r="B1265" s="4">
        <v>42004</v>
      </c>
      <c r="H1265">
        <f t="shared" si="19"/>
        <v>2014</v>
      </c>
    </row>
    <row r="1266" spans="2:8" x14ac:dyDescent="0.2">
      <c r="B1266" s="4">
        <v>42369</v>
      </c>
      <c r="H1266">
        <f t="shared" si="19"/>
        <v>2015</v>
      </c>
    </row>
    <row r="1267" spans="2:8" x14ac:dyDescent="0.2">
      <c r="B1267" s="4">
        <v>42735</v>
      </c>
      <c r="H1267">
        <f t="shared" si="19"/>
        <v>2016</v>
      </c>
    </row>
    <row r="1268" spans="2:8" x14ac:dyDescent="0.2">
      <c r="B1268" s="4">
        <v>43100</v>
      </c>
      <c r="H1268">
        <f t="shared" si="19"/>
        <v>2017</v>
      </c>
    </row>
    <row r="1269" spans="2:8" x14ac:dyDescent="0.2">
      <c r="B1269" s="4">
        <v>43465</v>
      </c>
      <c r="H1269">
        <f t="shared" si="19"/>
        <v>2018</v>
      </c>
    </row>
    <row r="1270" spans="2:8" x14ac:dyDescent="0.2">
      <c r="B1270" s="4">
        <v>43830</v>
      </c>
      <c r="H1270">
        <f t="shared" si="19"/>
        <v>2019</v>
      </c>
    </row>
    <row r="1271" spans="2:8" x14ac:dyDescent="0.2">
      <c r="B1271" s="4">
        <v>44196</v>
      </c>
      <c r="H1271">
        <f t="shared" si="19"/>
        <v>2020</v>
      </c>
    </row>
    <row r="1272" spans="2:8" x14ac:dyDescent="0.2">
      <c r="B1272" s="4">
        <v>44561</v>
      </c>
      <c r="H1272">
        <f t="shared" si="19"/>
        <v>2021</v>
      </c>
    </row>
    <row r="1273" spans="2:8" x14ac:dyDescent="0.2">
      <c r="B1273" s="4">
        <v>44926</v>
      </c>
      <c r="H1273">
        <f t="shared" si="19"/>
        <v>2022</v>
      </c>
    </row>
    <row r="1274" spans="2:8" x14ac:dyDescent="0.2">
      <c r="B1274" s="4">
        <v>45291</v>
      </c>
      <c r="H1274">
        <f t="shared" si="19"/>
        <v>2023</v>
      </c>
    </row>
    <row r="1275" spans="2:8" x14ac:dyDescent="0.2">
      <c r="B1275" s="4">
        <v>45657</v>
      </c>
      <c r="H1275">
        <f t="shared" si="19"/>
        <v>2024</v>
      </c>
    </row>
    <row r="1276" spans="2:8" x14ac:dyDescent="0.2">
      <c r="B1276" s="4">
        <v>46022</v>
      </c>
      <c r="H1276">
        <f t="shared" si="19"/>
        <v>2025</v>
      </c>
    </row>
    <row r="1277" spans="2:8" x14ac:dyDescent="0.2">
      <c r="B1277" s="4">
        <v>38717</v>
      </c>
      <c r="H1277">
        <f t="shared" si="19"/>
        <v>2005</v>
      </c>
    </row>
    <row r="1278" spans="2:8" x14ac:dyDescent="0.2">
      <c r="B1278" s="4">
        <v>39082</v>
      </c>
      <c r="H1278">
        <f t="shared" si="19"/>
        <v>2006</v>
      </c>
    </row>
    <row r="1279" spans="2:8" x14ac:dyDescent="0.2">
      <c r="B1279" s="4">
        <v>39447</v>
      </c>
      <c r="H1279">
        <f t="shared" si="19"/>
        <v>2007</v>
      </c>
    </row>
    <row r="1280" spans="2:8" x14ac:dyDescent="0.2">
      <c r="B1280" s="4">
        <v>39813</v>
      </c>
      <c r="H1280">
        <f t="shared" si="19"/>
        <v>2008</v>
      </c>
    </row>
    <row r="1281" spans="2:8" x14ac:dyDescent="0.2">
      <c r="B1281" s="4">
        <v>40178</v>
      </c>
      <c r="H1281">
        <f t="shared" si="19"/>
        <v>2009</v>
      </c>
    </row>
    <row r="1282" spans="2:8" x14ac:dyDescent="0.2">
      <c r="B1282" s="4">
        <v>40543</v>
      </c>
      <c r="H1282">
        <f t="shared" si="19"/>
        <v>2010</v>
      </c>
    </row>
    <row r="1283" spans="2:8" x14ac:dyDescent="0.2">
      <c r="B1283" s="4">
        <v>40908</v>
      </c>
      <c r="H1283">
        <f t="shared" ref="H1283:H1346" si="20">YEAR(B1283)</f>
        <v>2011</v>
      </c>
    </row>
    <row r="1284" spans="2:8" x14ac:dyDescent="0.2">
      <c r="B1284" s="4">
        <v>41274</v>
      </c>
      <c r="H1284">
        <f t="shared" si="20"/>
        <v>2012</v>
      </c>
    </row>
    <row r="1285" spans="2:8" x14ac:dyDescent="0.2">
      <c r="B1285" s="4">
        <v>41639</v>
      </c>
      <c r="H1285">
        <f t="shared" si="20"/>
        <v>2013</v>
      </c>
    </row>
    <row r="1286" spans="2:8" x14ac:dyDescent="0.2">
      <c r="B1286" s="4">
        <v>42004</v>
      </c>
      <c r="H1286">
        <f t="shared" si="20"/>
        <v>2014</v>
      </c>
    </row>
    <row r="1287" spans="2:8" x14ac:dyDescent="0.2">
      <c r="B1287" s="4">
        <v>42369</v>
      </c>
      <c r="H1287">
        <f t="shared" si="20"/>
        <v>2015</v>
      </c>
    </row>
    <row r="1288" spans="2:8" x14ac:dyDescent="0.2">
      <c r="B1288" s="4">
        <v>42735</v>
      </c>
      <c r="H1288">
        <f t="shared" si="20"/>
        <v>2016</v>
      </c>
    </row>
    <row r="1289" spans="2:8" x14ac:dyDescent="0.2">
      <c r="B1289" s="4">
        <v>43100</v>
      </c>
      <c r="H1289">
        <f t="shared" si="20"/>
        <v>2017</v>
      </c>
    </row>
    <row r="1290" spans="2:8" x14ac:dyDescent="0.2">
      <c r="B1290" s="4">
        <v>43465</v>
      </c>
      <c r="H1290">
        <f t="shared" si="20"/>
        <v>2018</v>
      </c>
    </row>
    <row r="1291" spans="2:8" x14ac:dyDescent="0.2">
      <c r="B1291" s="4">
        <v>43830</v>
      </c>
      <c r="H1291">
        <f t="shared" si="20"/>
        <v>2019</v>
      </c>
    </row>
    <row r="1292" spans="2:8" x14ac:dyDescent="0.2">
      <c r="B1292" s="4">
        <v>44196</v>
      </c>
      <c r="H1292">
        <f t="shared" si="20"/>
        <v>2020</v>
      </c>
    </row>
    <row r="1293" spans="2:8" x14ac:dyDescent="0.2">
      <c r="B1293" s="4">
        <v>44561</v>
      </c>
      <c r="H1293">
        <f t="shared" si="20"/>
        <v>2021</v>
      </c>
    </row>
    <row r="1294" spans="2:8" x14ac:dyDescent="0.2">
      <c r="B1294" s="4">
        <v>44926</v>
      </c>
      <c r="H1294">
        <f t="shared" si="20"/>
        <v>2022</v>
      </c>
    </row>
    <row r="1295" spans="2:8" x14ac:dyDescent="0.2">
      <c r="B1295" s="4">
        <v>45291</v>
      </c>
      <c r="H1295">
        <f t="shared" si="20"/>
        <v>2023</v>
      </c>
    </row>
    <row r="1296" spans="2:8" x14ac:dyDescent="0.2">
      <c r="B1296" s="4">
        <v>45657</v>
      </c>
      <c r="H1296">
        <f t="shared" si="20"/>
        <v>2024</v>
      </c>
    </row>
    <row r="1297" spans="2:8" x14ac:dyDescent="0.2">
      <c r="B1297" s="4">
        <v>46022</v>
      </c>
      <c r="H1297">
        <f t="shared" si="20"/>
        <v>2025</v>
      </c>
    </row>
    <row r="1298" spans="2:8" x14ac:dyDescent="0.2">
      <c r="B1298" s="4">
        <v>38717</v>
      </c>
      <c r="H1298">
        <f t="shared" si="20"/>
        <v>2005</v>
      </c>
    </row>
    <row r="1299" spans="2:8" x14ac:dyDescent="0.2">
      <c r="B1299" s="4">
        <v>39082</v>
      </c>
      <c r="H1299">
        <f t="shared" si="20"/>
        <v>2006</v>
      </c>
    </row>
    <row r="1300" spans="2:8" x14ac:dyDescent="0.2">
      <c r="B1300" s="4">
        <v>39447</v>
      </c>
      <c r="H1300">
        <f t="shared" si="20"/>
        <v>2007</v>
      </c>
    </row>
    <row r="1301" spans="2:8" x14ac:dyDescent="0.2">
      <c r="B1301" s="4">
        <v>39813</v>
      </c>
      <c r="H1301">
        <f t="shared" si="20"/>
        <v>2008</v>
      </c>
    </row>
    <row r="1302" spans="2:8" x14ac:dyDescent="0.2">
      <c r="B1302" s="4">
        <v>40178</v>
      </c>
      <c r="H1302">
        <f t="shared" si="20"/>
        <v>2009</v>
      </c>
    </row>
    <row r="1303" spans="2:8" x14ac:dyDescent="0.2">
      <c r="B1303" s="4">
        <v>40543</v>
      </c>
      <c r="H1303">
        <f t="shared" si="20"/>
        <v>2010</v>
      </c>
    </row>
    <row r="1304" spans="2:8" x14ac:dyDescent="0.2">
      <c r="B1304" s="4">
        <v>40908</v>
      </c>
      <c r="H1304">
        <f t="shared" si="20"/>
        <v>2011</v>
      </c>
    </row>
    <row r="1305" spans="2:8" x14ac:dyDescent="0.2">
      <c r="B1305" s="4">
        <v>41274</v>
      </c>
      <c r="H1305">
        <f t="shared" si="20"/>
        <v>2012</v>
      </c>
    </row>
    <row r="1306" spans="2:8" x14ac:dyDescent="0.2">
      <c r="B1306" s="4">
        <v>41639</v>
      </c>
      <c r="H1306">
        <f t="shared" si="20"/>
        <v>2013</v>
      </c>
    </row>
    <row r="1307" spans="2:8" x14ac:dyDescent="0.2">
      <c r="B1307" s="4">
        <v>42004</v>
      </c>
      <c r="H1307">
        <f t="shared" si="20"/>
        <v>2014</v>
      </c>
    </row>
    <row r="1308" spans="2:8" x14ac:dyDescent="0.2">
      <c r="B1308" s="4">
        <v>42369</v>
      </c>
      <c r="H1308">
        <f t="shared" si="20"/>
        <v>2015</v>
      </c>
    </row>
    <row r="1309" spans="2:8" x14ac:dyDescent="0.2">
      <c r="B1309" s="4">
        <v>42735</v>
      </c>
      <c r="H1309">
        <f t="shared" si="20"/>
        <v>2016</v>
      </c>
    </row>
    <row r="1310" spans="2:8" x14ac:dyDescent="0.2">
      <c r="B1310" s="4">
        <v>43100</v>
      </c>
      <c r="H1310">
        <f t="shared" si="20"/>
        <v>2017</v>
      </c>
    </row>
    <row r="1311" spans="2:8" x14ac:dyDescent="0.2">
      <c r="B1311" s="4">
        <v>43465</v>
      </c>
      <c r="H1311">
        <f t="shared" si="20"/>
        <v>2018</v>
      </c>
    </row>
    <row r="1312" spans="2:8" x14ac:dyDescent="0.2">
      <c r="B1312" s="4">
        <v>43830</v>
      </c>
      <c r="H1312">
        <f t="shared" si="20"/>
        <v>2019</v>
      </c>
    </row>
    <row r="1313" spans="2:8" x14ac:dyDescent="0.2">
      <c r="B1313" s="4">
        <v>44196</v>
      </c>
      <c r="H1313">
        <f t="shared" si="20"/>
        <v>2020</v>
      </c>
    </row>
    <row r="1314" spans="2:8" x14ac:dyDescent="0.2">
      <c r="B1314" s="4">
        <v>44561</v>
      </c>
      <c r="H1314">
        <f t="shared" si="20"/>
        <v>2021</v>
      </c>
    </row>
    <row r="1315" spans="2:8" x14ac:dyDescent="0.2">
      <c r="B1315" s="4">
        <v>44926</v>
      </c>
      <c r="H1315">
        <f t="shared" si="20"/>
        <v>2022</v>
      </c>
    </row>
    <row r="1316" spans="2:8" x14ac:dyDescent="0.2">
      <c r="B1316" s="4">
        <v>45291</v>
      </c>
      <c r="H1316">
        <f t="shared" si="20"/>
        <v>2023</v>
      </c>
    </row>
    <row r="1317" spans="2:8" x14ac:dyDescent="0.2">
      <c r="B1317" s="4">
        <v>45657</v>
      </c>
      <c r="H1317">
        <f t="shared" si="20"/>
        <v>2024</v>
      </c>
    </row>
    <row r="1318" spans="2:8" x14ac:dyDescent="0.2">
      <c r="B1318" s="4">
        <v>46022</v>
      </c>
      <c r="H1318">
        <f t="shared" si="20"/>
        <v>2025</v>
      </c>
    </row>
    <row r="1319" spans="2:8" x14ac:dyDescent="0.2">
      <c r="B1319" s="4">
        <v>38717</v>
      </c>
      <c r="H1319">
        <f t="shared" si="20"/>
        <v>2005</v>
      </c>
    </row>
    <row r="1320" spans="2:8" x14ac:dyDescent="0.2">
      <c r="B1320" s="4">
        <v>39082</v>
      </c>
      <c r="H1320">
        <f t="shared" si="20"/>
        <v>2006</v>
      </c>
    </row>
    <row r="1321" spans="2:8" x14ac:dyDescent="0.2">
      <c r="B1321" s="4">
        <v>39447</v>
      </c>
      <c r="H1321">
        <f t="shared" si="20"/>
        <v>2007</v>
      </c>
    </row>
    <row r="1322" spans="2:8" x14ac:dyDescent="0.2">
      <c r="B1322" s="4">
        <v>39813</v>
      </c>
      <c r="H1322">
        <f t="shared" si="20"/>
        <v>2008</v>
      </c>
    </row>
    <row r="1323" spans="2:8" x14ac:dyDescent="0.2">
      <c r="B1323" s="4">
        <v>40178</v>
      </c>
      <c r="H1323">
        <f t="shared" si="20"/>
        <v>2009</v>
      </c>
    </row>
    <row r="1324" spans="2:8" x14ac:dyDescent="0.2">
      <c r="B1324" s="4">
        <v>40543</v>
      </c>
      <c r="H1324">
        <f t="shared" si="20"/>
        <v>2010</v>
      </c>
    </row>
    <row r="1325" spans="2:8" x14ac:dyDescent="0.2">
      <c r="B1325" s="4">
        <v>40908</v>
      </c>
      <c r="H1325">
        <f t="shared" si="20"/>
        <v>2011</v>
      </c>
    </row>
    <row r="1326" spans="2:8" x14ac:dyDescent="0.2">
      <c r="B1326" s="4">
        <v>41274</v>
      </c>
      <c r="H1326">
        <f t="shared" si="20"/>
        <v>2012</v>
      </c>
    </row>
    <row r="1327" spans="2:8" x14ac:dyDescent="0.2">
      <c r="B1327" s="4">
        <v>41639</v>
      </c>
      <c r="H1327">
        <f t="shared" si="20"/>
        <v>2013</v>
      </c>
    </row>
    <row r="1328" spans="2:8" x14ac:dyDescent="0.2">
      <c r="B1328" s="4">
        <v>42004</v>
      </c>
      <c r="H1328">
        <f t="shared" si="20"/>
        <v>2014</v>
      </c>
    </row>
    <row r="1329" spans="2:8" x14ac:dyDescent="0.2">
      <c r="B1329" s="4">
        <v>42369</v>
      </c>
      <c r="H1329">
        <f t="shared" si="20"/>
        <v>2015</v>
      </c>
    </row>
    <row r="1330" spans="2:8" x14ac:dyDescent="0.2">
      <c r="B1330" s="4">
        <v>42735</v>
      </c>
      <c r="H1330">
        <f t="shared" si="20"/>
        <v>2016</v>
      </c>
    </row>
    <row r="1331" spans="2:8" x14ac:dyDescent="0.2">
      <c r="B1331" s="4">
        <v>43100</v>
      </c>
      <c r="H1331">
        <f t="shared" si="20"/>
        <v>2017</v>
      </c>
    </row>
    <row r="1332" spans="2:8" x14ac:dyDescent="0.2">
      <c r="B1332" s="4">
        <v>43465</v>
      </c>
      <c r="H1332">
        <f t="shared" si="20"/>
        <v>2018</v>
      </c>
    </row>
    <row r="1333" spans="2:8" x14ac:dyDescent="0.2">
      <c r="B1333" s="4">
        <v>43830</v>
      </c>
      <c r="H1333">
        <f t="shared" si="20"/>
        <v>2019</v>
      </c>
    </row>
    <row r="1334" spans="2:8" x14ac:dyDescent="0.2">
      <c r="B1334" s="4">
        <v>44196</v>
      </c>
      <c r="H1334">
        <f t="shared" si="20"/>
        <v>2020</v>
      </c>
    </row>
    <row r="1335" spans="2:8" x14ac:dyDescent="0.2">
      <c r="B1335" s="4">
        <v>44561</v>
      </c>
      <c r="H1335">
        <f t="shared" si="20"/>
        <v>2021</v>
      </c>
    </row>
    <row r="1336" spans="2:8" x14ac:dyDescent="0.2">
      <c r="B1336" s="4">
        <v>44926</v>
      </c>
      <c r="H1336">
        <f t="shared" si="20"/>
        <v>2022</v>
      </c>
    </row>
    <row r="1337" spans="2:8" x14ac:dyDescent="0.2">
      <c r="B1337" s="4">
        <v>45291</v>
      </c>
      <c r="H1337">
        <f t="shared" si="20"/>
        <v>2023</v>
      </c>
    </row>
    <row r="1338" spans="2:8" x14ac:dyDescent="0.2">
      <c r="B1338" s="4">
        <v>45657</v>
      </c>
      <c r="H1338">
        <f t="shared" si="20"/>
        <v>2024</v>
      </c>
    </row>
    <row r="1339" spans="2:8" x14ac:dyDescent="0.2">
      <c r="B1339" s="4">
        <v>46022</v>
      </c>
      <c r="H1339">
        <f t="shared" si="20"/>
        <v>2025</v>
      </c>
    </row>
    <row r="1340" spans="2:8" x14ac:dyDescent="0.2">
      <c r="B1340" s="4">
        <v>38717</v>
      </c>
      <c r="H1340">
        <f t="shared" si="20"/>
        <v>2005</v>
      </c>
    </row>
    <row r="1341" spans="2:8" x14ac:dyDescent="0.2">
      <c r="B1341" s="4">
        <v>39082</v>
      </c>
      <c r="H1341">
        <f t="shared" si="20"/>
        <v>2006</v>
      </c>
    </row>
    <row r="1342" spans="2:8" x14ac:dyDescent="0.2">
      <c r="B1342" s="4">
        <v>39447</v>
      </c>
      <c r="H1342">
        <f t="shared" si="20"/>
        <v>2007</v>
      </c>
    </row>
    <row r="1343" spans="2:8" x14ac:dyDescent="0.2">
      <c r="B1343" s="4">
        <v>39813</v>
      </c>
      <c r="H1343">
        <f t="shared" si="20"/>
        <v>2008</v>
      </c>
    </row>
    <row r="1344" spans="2:8" x14ac:dyDescent="0.2">
      <c r="B1344" s="4">
        <v>40178</v>
      </c>
      <c r="H1344">
        <f t="shared" si="20"/>
        <v>2009</v>
      </c>
    </row>
    <row r="1345" spans="2:8" x14ac:dyDescent="0.2">
      <c r="B1345" s="4">
        <v>40543</v>
      </c>
      <c r="H1345">
        <f t="shared" si="20"/>
        <v>2010</v>
      </c>
    </row>
    <row r="1346" spans="2:8" x14ac:dyDescent="0.2">
      <c r="B1346" s="4">
        <v>40908</v>
      </c>
      <c r="H1346">
        <f t="shared" si="20"/>
        <v>2011</v>
      </c>
    </row>
    <row r="1347" spans="2:8" x14ac:dyDescent="0.2">
      <c r="B1347" s="4">
        <v>41274</v>
      </c>
      <c r="H1347">
        <f t="shared" ref="H1347:H1360" si="21">YEAR(B1347)</f>
        <v>2012</v>
      </c>
    </row>
    <row r="1348" spans="2:8" x14ac:dyDescent="0.2">
      <c r="B1348" s="4">
        <v>41639</v>
      </c>
      <c r="H1348">
        <f t="shared" si="21"/>
        <v>2013</v>
      </c>
    </row>
    <row r="1349" spans="2:8" x14ac:dyDescent="0.2">
      <c r="B1349" s="4">
        <v>42004</v>
      </c>
      <c r="H1349">
        <f t="shared" si="21"/>
        <v>2014</v>
      </c>
    </row>
    <row r="1350" spans="2:8" x14ac:dyDescent="0.2">
      <c r="B1350" s="4">
        <v>42369</v>
      </c>
      <c r="H1350">
        <f t="shared" si="21"/>
        <v>2015</v>
      </c>
    </row>
    <row r="1351" spans="2:8" x14ac:dyDescent="0.2">
      <c r="B1351" s="4">
        <v>42735</v>
      </c>
      <c r="H1351">
        <f t="shared" si="21"/>
        <v>2016</v>
      </c>
    </row>
    <row r="1352" spans="2:8" x14ac:dyDescent="0.2">
      <c r="B1352" s="4">
        <v>43100</v>
      </c>
      <c r="H1352">
        <f t="shared" si="21"/>
        <v>2017</v>
      </c>
    </row>
    <row r="1353" spans="2:8" x14ac:dyDescent="0.2">
      <c r="B1353" s="4">
        <v>43465</v>
      </c>
      <c r="H1353">
        <f t="shared" si="21"/>
        <v>2018</v>
      </c>
    </row>
    <row r="1354" spans="2:8" x14ac:dyDescent="0.2">
      <c r="B1354" s="4">
        <v>43830</v>
      </c>
      <c r="H1354">
        <f t="shared" si="21"/>
        <v>2019</v>
      </c>
    </row>
    <row r="1355" spans="2:8" x14ac:dyDescent="0.2">
      <c r="B1355" s="4">
        <v>44196</v>
      </c>
      <c r="H1355">
        <f t="shared" si="21"/>
        <v>2020</v>
      </c>
    </row>
    <row r="1356" spans="2:8" x14ac:dyDescent="0.2">
      <c r="B1356" s="4">
        <v>44561</v>
      </c>
      <c r="H1356">
        <f t="shared" si="21"/>
        <v>2021</v>
      </c>
    </row>
    <row r="1357" spans="2:8" x14ac:dyDescent="0.2">
      <c r="B1357" s="4">
        <v>44926</v>
      </c>
      <c r="H1357">
        <f t="shared" si="21"/>
        <v>2022</v>
      </c>
    </row>
    <row r="1358" spans="2:8" x14ac:dyDescent="0.2">
      <c r="B1358" s="4">
        <v>45291</v>
      </c>
      <c r="H1358">
        <f t="shared" si="21"/>
        <v>2023</v>
      </c>
    </row>
    <row r="1359" spans="2:8" x14ac:dyDescent="0.2">
      <c r="B1359" s="4">
        <v>45657</v>
      </c>
      <c r="H1359">
        <f t="shared" si="21"/>
        <v>2024</v>
      </c>
    </row>
    <row r="1360" spans="2:8" x14ac:dyDescent="0.2">
      <c r="B1360" s="4">
        <v>46022</v>
      </c>
      <c r="H1360">
        <f t="shared" si="21"/>
        <v>2025</v>
      </c>
    </row>
  </sheetData>
  <autoFilter ref="A1:H1360" xr:uid="{D7118687-68A5-5E48-96F9-BB72221476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Ark3</vt:lpstr>
      <vt:lpstr>Look up table</vt:lpstr>
      <vt:lpstr>Control variable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Wiegand Møller</dc:creator>
  <cp:lastModifiedBy>Sebastian Wiegand Møller</cp:lastModifiedBy>
  <dcterms:created xsi:type="dcterms:W3CDTF">2026-03-05T13:31:08Z</dcterms:created>
  <dcterms:modified xsi:type="dcterms:W3CDTF">2026-04-15T15:31:10Z</dcterms:modified>
</cp:coreProperties>
</file>